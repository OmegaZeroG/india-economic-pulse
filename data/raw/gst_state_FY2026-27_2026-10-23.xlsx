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Tax Collection\"/>
    </mc:Choice>
  </mc:AlternateContent>
  <xr:revisionPtr revIDLastSave="0" documentId="13_ncr:1_{EFDD7F56-8558-4DF1-AA8A-2BA32D5F2E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_Revenue-All_India" sheetId="3" r:id="rId1"/>
    <sheet name="Collections-Statewise" sheetId="1" r:id="rId2"/>
    <sheet name="Refund-Statewise" sheetId="2" r:id="rId3"/>
  </sheets>
  <definedNames>
    <definedName name="_xlnm._FilterDatabase" localSheetId="1" hidden="1">'Collections-Statewise'!$A$6:$Q$45</definedName>
    <definedName name="_xlnm._FilterDatabase" localSheetId="2" hidden="1">'Refund-Statewise'!$AA$8:$AD$8</definedName>
    <definedName name="_xlnm.Print_Area" localSheetId="1">'Collections-Statewise'!$A$1:$R$49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3" l="1"/>
  <c r="X16" i="3"/>
  <c r="W16" i="3"/>
  <c r="V16" i="3"/>
  <c r="Y15" i="3"/>
  <c r="Y17" i="3" s="1"/>
  <c r="X15" i="3"/>
  <c r="X17" i="3" s="1"/>
  <c r="W15" i="3"/>
  <c r="W17" i="3" s="1"/>
  <c r="V15" i="3"/>
  <c r="V17" i="3" s="1"/>
  <c r="W12" i="3"/>
  <c r="W19" i="3" s="1"/>
  <c r="V12" i="3"/>
  <c r="V19" i="3" s="1"/>
  <c r="Y11" i="3"/>
  <c r="Y12" i="3" s="1"/>
  <c r="X11" i="3"/>
  <c r="X12" i="3" s="1"/>
  <c r="W11" i="3"/>
  <c r="V11" i="3"/>
  <c r="Y10" i="3"/>
  <c r="X10" i="3"/>
  <c r="W10" i="3"/>
  <c r="V10" i="3"/>
  <c r="X19" i="3" l="1"/>
  <c r="Y19" i="3"/>
  <c r="Z47" i="1"/>
  <c r="Y45" i="1"/>
  <c r="Y49" i="1" s="1"/>
  <c r="X45" i="1"/>
  <c r="X49" i="1" s="1"/>
  <c r="W45" i="1"/>
  <c r="W49" i="1" s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49" i="2"/>
  <c r="Y47" i="2"/>
  <c r="Y51" i="2" s="1"/>
  <c r="X47" i="2"/>
  <c r="X51" i="2" s="1"/>
  <c r="W47" i="2"/>
  <c r="W51" i="2" s="1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T16" i="3"/>
  <c r="S16" i="3"/>
  <c r="R16" i="3"/>
  <c r="T11" i="3"/>
  <c r="S11" i="3"/>
  <c r="R11" i="3"/>
  <c r="Z45" i="1" l="1"/>
  <c r="Z49" i="1"/>
  <c r="Z47" i="2"/>
  <c r="S45" i="1"/>
  <c r="T45" i="1"/>
  <c r="S10" i="3" s="1"/>
  <c r="S12" i="3" s="1"/>
  <c r="U45" i="1"/>
  <c r="V47" i="1"/>
  <c r="U11" i="3" s="1"/>
  <c r="T49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Z51" i="2" l="1"/>
  <c r="U49" i="1"/>
  <c r="T10" i="3"/>
  <c r="T12" i="3" s="1"/>
  <c r="S49" i="1"/>
  <c r="R10" i="3"/>
  <c r="R12" i="3" s="1"/>
  <c r="V45" i="1"/>
  <c r="V49" i="1" l="1"/>
  <c r="U10" i="3"/>
  <c r="U12" i="3" s="1"/>
  <c r="V49" i="2"/>
  <c r="U16" i="3" s="1"/>
  <c r="U47" i="2"/>
  <c r="T47" i="2"/>
  <c r="S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P16" i="3"/>
  <c r="O16" i="3"/>
  <c r="N16" i="3"/>
  <c r="P11" i="3"/>
  <c r="O11" i="3"/>
  <c r="N11" i="3"/>
  <c r="R8" i="1"/>
  <c r="R9" i="1"/>
  <c r="R11" i="1"/>
  <c r="R12" i="1"/>
  <c r="R26" i="1"/>
  <c r="R30" i="1"/>
  <c r="R31" i="1"/>
  <c r="R32" i="1"/>
  <c r="R38" i="1"/>
  <c r="R39" i="1"/>
  <c r="R49" i="2"/>
  <c r="Q16" i="3" s="1"/>
  <c r="Q47" i="2"/>
  <c r="Q51" i="2" s="1"/>
  <c r="P47" i="2"/>
  <c r="P51" i="2" s="1"/>
  <c r="O47" i="2"/>
  <c r="O51" i="2" s="1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47" i="1"/>
  <c r="Q11" i="3" s="1"/>
  <c r="R23" i="1"/>
  <c r="R17" i="1"/>
  <c r="R16" i="1"/>
  <c r="S51" i="2" l="1"/>
  <c r="R15" i="3"/>
  <c r="R17" i="3" s="1"/>
  <c r="R19" i="3" s="1"/>
  <c r="T51" i="2"/>
  <c r="S15" i="3"/>
  <c r="S17" i="3" s="1"/>
  <c r="S19" i="3" s="1"/>
  <c r="U51" i="2"/>
  <c r="T15" i="3"/>
  <c r="T17" i="3" s="1"/>
  <c r="T19" i="3" s="1"/>
  <c r="V47" i="2"/>
  <c r="O15" i="3"/>
  <c r="O17" i="3" s="1"/>
  <c r="N15" i="3"/>
  <c r="N17" i="3" s="1"/>
  <c r="P15" i="3"/>
  <c r="P17" i="3" s="1"/>
  <c r="R44" i="1"/>
  <c r="R33" i="1"/>
  <c r="R10" i="1"/>
  <c r="R37" i="1"/>
  <c r="R15" i="1"/>
  <c r="R28" i="1"/>
  <c r="R27" i="1"/>
  <c r="R34" i="1"/>
  <c r="R29" i="1"/>
  <c r="R36" i="1"/>
  <c r="R14" i="1"/>
  <c r="R21" i="1"/>
  <c r="R42" i="1"/>
  <c r="R20" i="1"/>
  <c r="R41" i="1"/>
  <c r="R25" i="1"/>
  <c r="R22" i="1"/>
  <c r="R43" i="1"/>
  <c r="R35" i="1"/>
  <c r="R13" i="1"/>
  <c r="R19" i="1"/>
  <c r="R40" i="1"/>
  <c r="R18" i="1"/>
  <c r="Q45" i="1"/>
  <c r="R24" i="1"/>
  <c r="O45" i="1"/>
  <c r="P45" i="1"/>
  <c r="R7" i="1"/>
  <c r="R47" i="2"/>
  <c r="N49" i="2"/>
  <c r="M16" i="3" s="1"/>
  <c r="N47" i="1"/>
  <c r="K11" i="3"/>
  <c r="N12" i="1"/>
  <c r="N15" i="1"/>
  <c r="N23" i="1"/>
  <c r="N26" i="1"/>
  <c r="N27" i="1"/>
  <c r="N28" i="1"/>
  <c r="N32" i="1"/>
  <c r="N33" i="1"/>
  <c r="N37" i="1"/>
  <c r="N38" i="1"/>
  <c r="N39" i="1"/>
  <c r="M47" i="2"/>
  <c r="L15" i="3" s="1"/>
  <c r="L47" i="2"/>
  <c r="K15" i="3" s="1"/>
  <c r="K47" i="2"/>
  <c r="J15" i="3" s="1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31" i="1"/>
  <c r="N25" i="1"/>
  <c r="N17" i="1"/>
  <c r="N16" i="1"/>
  <c r="N11" i="1"/>
  <c r="N10" i="1"/>
  <c r="N9" i="1"/>
  <c r="L16" i="3"/>
  <c r="K16" i="3"/>
  <c r="J16" i="3"/>
  <c r="G47" i="2"/>
  <c r="V51" i="2" l="1"/>
  <c r="U15" i="3"/>
  <c r="U17" i="3" s="1"/>
  <c r="U19" i="3" s="1"/>
  <c r="P49" i="1"/>
  <c r="O10" i="3"/>
  <c r="O12" i="3" s="1"/>
  <c r="O19" i="3" s="1"/>
  <c r="O49" i="1"/>
  <c r="N10" i="3"/>
  <c r="N12" i="3" s="1"/>
  <c r="Q49" i="1"/>
  <c r="P10" i="3"/>
  <c r="P12" i="3" s="1"/>
  <c r="P19" i="3" s="1"/>
  <c r="N19" i="3"/>
  <c r="R51" i="2"/>
  <c r="Q15" i="3"/>
  <c r="Q17" i="3" s="1"/>
  <c r="R45" i="1"/>
  <c r="K51" i="2"/>
  <c r="L51" i="2"/>
  <c r="M51" i="2"/>
  <c r="J17" i="3"/>
  <c r="K17" i="3"/>
  <c r="L17" i="3"/>
  <c r="J11" i="3"/>
  <c r="M11" i="3"/>
  <c r="L11" i="3"/>
  <c r="N14" i="1"/>
  <c r="N13" i="1"/>
  <c r="N35" i="1"/>
  <c r="M45" i="1"/>
  <c r="N43" i="1"/>
  <c r="N42" i="1"/>
  <c r="N22" i="1"/>
  <c r="N36" i="1"/>
  <c r="N21" i="1"/>
  <c r="N41" i="1"/>
  <c r="N44" i="1"/>
  <c r="N20" i="1"/>
  <c r="N18" i="1"/>
  <c r="L45" i="1"/>
  <c r="N29" i="1"/>
  <c r="N34" i="1"/>
  <c r="N19" i="1"/>
  <c r="N40" i="1"/>
  <c r="N24" i="1"/>
  <c r="N30" i="1"/>
  <c r="N8" i="1"/>
  <c r="N7" i="1"/>
  <c r="K45" i="1"/>
  <c r="N47" i="2"/>
  <c r="M15" i="3" s="1"/>
  <c r="M17" i="3" s="1"/>
  <c r="C49" i="2"/>
  <c r="D49" i="2"/>
  <c r="J49" i="2"/>
  <c r="F49" i="2" s="1"/>
  <c r="J47" i="1"/>
  <c r="E9" i="2"/>
  <c r="D9" i="2"/>
  <c r="C9" i="2"/>
  <c r="E47" i="1"/>
  <c r="J10" i="3" l="1"/>
  <c r="K49" i="1"/>
  <c r="N45" i="1"/>
  <c r="K10" i="3"/>
  <c r="K12" i="3" s="1"/>
  <c r="K19" i="3" s="1"/>
  <c r="L49" i="1"/>
  <c r="R49" i="1"/>
  <c r="Q10" i="3"/>
  <c r="Q12" i="3" s="1"/>
  <c r="Q19" i="3"/>
  <c r="L10" i="3"/>
  <c r="L12" i="3" s="1"/>
  <c r="L19" i="3" s="1"/>
  <c r="M49" i="1"/>
  <c r="N51" i="2"/>
  <c r="F47" i="1"/>
  <c r="J12" i="3"/>
  <c r="J19" i="3" s="1"/>
  <c r="D40" i="1"/>
  <c r="C7" i="1"/>
  <c r="D47" i="1"/>
  <c r="C47" i="1"/>
  <c r="M10" i="3" l="1"/>
  <c r="M12" i="3" s="1"/>
  <c r="M19" i="3" s="1"/>
  <c r="N49" i="1"/>
  <c r="H47" i="2"/>
  <c r="I47" i="2"/>
  <c r="E49" i="2"/>
  <c r="C46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D46" i="2"/>
  <c r="E46" i="2"/>
  <c r="C8" i="1" l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D7" i="1"/>
  <c r="E7" i="1"/>
  <c r="D47" i="2" l="1"/>
  <c r="E47" i="2"/>
  <c r="A2" i="2" l="1"/>
  <c r="A2" i="1"/>
  <c r="C7" i="2"/>
  <c r="C5" i="1"/>
  <c r="E45" i="1" l="1"/>
  <c r="C45" i="1"/>
  <c r="B10" i="3" s="1"/>
  <c r="D45" i="1"/>
  <c r="C47" i="2"/>
  <c r="D51" i="2" l="1"/>
  <c r="E51" i="2"/>
  <c r="E49" i="1"/>
  <c r="I51" i="2"/>
  <c r="H51" i="2"/>
  <c r="G51" i="2"/>
  <c r="C51" i="2"/>
  <c r="D15" i="3" l="1"/>
  <c r="C15" i="3"/>
  <c r="B15" i="3"/>
  <c r="J46" i="2"/>
  <c r="F46" i="2" s="1"/>
  <c r="D49" i="1"/>
  <c r="J37" i="2" l="1"/>
  <c r="F37" i="2" s="1"/>
  <c r="J38" i="2"/>
  <c r="F38" i="2" s="1"/>
  <c r="J39" i="2"/>
  <c r="F39" i="2" s="1"/>
  <c r="J40" i="2"/>
  <c r="F40" i="2" s="1"/>
  <c r="J41" i="2"/>
  <c r="F41" i="2" s="1"/>
  <c r="J42" i="2"/>
  <c r="F42" i="2" s="1"/>
  <c r="J43" i="2"/>
  <c r="F43" i="2" s="1"/>
  <c r="J44" i="2"/>
  <c r="F44" i="2" s="1"/>
  <c r="J45" i="2"/>
  <c r="F45" i="2" s="1"/>
  <c r="J10" i="2"/>
  <c r="F10" i="2" s="1"/>
  <c r="J11" i="2"/>
  <c r="F11" i="2" s="1"/>
  <c r="J12" i="2"/>
  <c r="F12" i="2" s="1"/>
  <c r="J13" i="2"/>
  <c r="F13" i="2" s="1"/>
  <c r="J14" i="2"/>
  <c r="F14" i="2" s="1"/>
  <c r="J15" i="2"/>
  <c r="F15" i="2" s="1"/>
  <c r="J16" i="2"/>
  <c r="F16" i="2" s="1"/>
  <c r="J17" i="2"/>
  <c r="F17" i="2" s="1"/>
  <c r="J18" i="2"/>
  <c r="F18" i="2" s="1"/>
  <c r="J19" i="2"/>
  <c r="F19" i="2" s="1"/>
  <c r="J20" i="2"/>
  <c r="F20" i="2" s="1"/>
  <c r="J21" i="2"/>
  <c r="F21" i="2" s="1"/>
  <c r="J22" i="2"/>
  <c r="F22" i="2" s="1"/>
  <c r="J23" i="2"/>
  <c r="F23" i="2" s="1"/>
  <c r="J24" i="2"/>
  <c r="F24" i="2" s="1"/>
  <c r="J25" i="2"/>
  <c r="F25" i="2" s="1"/>
  <c r="J26" i="2"/>
  <c r="F26" i="2" s="1"/>
  <c r="J27" i="2"/>
  <c r="F27" i="2" s="1"/>
  <c r="J28" i="2"/>
  <c r="F28" i="2" s="1"/>
  <c r="J29" i="2"/>
  <c r="F29" i="2" s="1"/>
  <c r="J30" i="2"/>
  <c r="F30" i="2" s="1"/>
  <c r="J31" i="2"/>
  <c r="F31" i="2" s="1"/>
  <c r="J32" i="2"/>
  <c r="F32" i="2" s="1"/>
  <c r="J33" i="2"/>
  <c r="F33" i="2" s="1"/>
  <c r="J34" i="2"/>
  <c r="F34" i="2" s="1"/>
  <c r="J35" i="2"/>
  <c r="F35" i="2" s="1"/>
  <c r="J36" i="2"/>
  <c r="F36" i="2" s="1"/>
  <c r="J9" i="2"/>
  <c r="F9" i="2" s="1"/>
  <c r="F15" i="3"/>
  <c r="D11" i="3"/>
  <c r="I45" i="1"/>
  <c r="I49" i="1" s="1"/>
  <c r="H45" i="1"/>
  <c r="H49" i="1" s="1"/>
  <c r="G45" i="1"/>
  <c r="G49" i="1" s="1"/>
  <c r="J44" i="1"/>
  <c r="F44" i="1" s="1"/>
  <c r="J43" i="1"/>
  <c r="F43" i="1" s="1"/>
  <c r="J42" i="1"/>
  <c r="F42" i="1" s="1"/>
  <c r="J41" i="1"/>
  <c r="F41" i="1" s="1"/>
  <c r="J40" i="1"/>
  <c r="F40" i="1" s="1"/>
  <c r="J39" i="1"/>
  <c r="F39" i="1" s="1"/>
  <c r="J38" i="1"/>
  <c r="F38" i="1" s="1"/>
  <c r="J37" i="1"/>
  <c r="F37" i="1" s="1"/>
  <c r="J36" i="1"/>
  <c r="F36" i="1" s="1"/>
  <c r="J35" i="1"/>
  <c r="F35" i="1" s="1"/>
  <c r="J34" i="1"/>
  <c r="F34" i="1" s="1"/>
  <c r="J33" i="1"/>
  <c r="F33" i="1" s="1"/>
  <c r="J32" i="1"/>
  <c r="F32" i="1" s="1"/>
  <c r="J31" i="1"/>
  <c r="F31" i="1" s="1"/>
  <c r="J30" i="1"/>
  <c r="F30" i="1" s="1"/>
  <c r="J29" i="1"/>
  <c r="F29" i="1" s="1"/>
  <c r="J28" i="1"/>
  <c r="F28" i="1" s="1"/>
  <c r="J27" i="1"/>
  <c r="F27" i="1" s="1"/>
  <c r="J26" i="1"/>
  <c r="F26" i="1" s="1"/>
  <c r="J25" i="1"/>
  <c r="F25" i="1" s="1"/>
  <c r="J24" i="1"/>
  <c r="F24" i="1" s="1"/>
  <c r="J23" i="1"/>
  <c r="F23" i="1" s="1"/>
  <c r="J22" i="1"/>
  <c r="F22" i="1" s="1"/>
  <c r="J21" i="1"/>
  <c r="F21" i="1" s="1"/>
  <c r="J20" i="1"/>
  <c r="F20" i="1" s="1"/>
  <c r="J19" i="1"/>
  <c r="F19" i="1" s="1"/>
  <c r="J18" i="1"/>
  <c r="F18" i="1" s="1"/>
  <c r="J17" i="1"/>
  <c r="F17" i="1" s="1"/>
  <c r="J16" i="1"/>
  <c r="F16" i="1" s="1"/>
  <c r="J15" i="1"/>
  <c r="F15" i="1" s="1"/>
  <c r="J14" i="1"/>
  <c r="F14" i="1" s="1"/>
  <c r="J13" i="1"/>
  <c r="F13" i="1" s="1"/>
  <c r="J12" i="1"/>
  <c r="F12" i="1" s="1"/>
  <c r="J11" i="1"/>
  <c r="F11" i="1" s="1"/>
  <c r="J10" i="1"/>
  <c r="F10" i="1" s="1"/>
  <c r="J9" i="1"/>
  <c r="F9" i="1" s="1"/>
  <c r="J8" i="1"/>
  <c r="F8" i="1" s="1"/>
  <c r="J7" i="1"/>
  <c r="F7" i="1" s="1"/>
  <c r="H16" i="3"/>
  <c r="G16" i="3"/>
  <c r="F16" i="3"/>
  <c r="H11" i="3"/>
  <c r="G11" i="3"/>
  <c r="F11" i="3"/>
  <c r="C11" i="3"/>
  <c r="B11" i="3"/>
  <c r="F45" i="1" l="1"/>
  <c r="E11" i="3"/>
  <c r="I11" i="3"/>
  <c r="C16" i="3"/>
  <c r="C17" i="3" s="1"/>
  <c r="H10" i="3"/>
  <c r="H12" i="3" s="1"/>
  <c r="J47" i="2"/>
  <c r="I15" i="3" s="1"/>
  <c r="C10" i="3"/>
  <c r="C12" i="3" s="1"/>
  <c r="G10" i="3"/>
  <c r="G12" i="3" s="1"/>
  <c r="F10" i="3"/>
  <c r="F12" i="3" s="1"/>
  <c r="D10" i="3"/>
  <c r="D12" i="3" s="1"/>
  <c r="G15" i="3"/>
  <c r="H15" i="3"/>
  <c r="H17" i="3" s="1"/>
  <c r="I16" i="3"/>
  <c r="D16" i="3"/>
  <c r="D17" i="3" s="1"/>
  <c r="B16" i="3"/>
  <c r="B17" i="3" s="1"/>
  <c r="F17" i="3"/>
  <c r="J45" i="1"/>
  <c r="J49" i="1" s="1"/>
  <c r="J51" i="2" l="1"/>
  <c r="F47" i="2"/>
  <c r="E10" i="3"/>
  <c r="E12" i="3" s="1"/>
  <c r="B12" i="3"/>
  <c r="B19" i="3" s="1"/>
  <c r="C19" i="3"/>
  <c r="D19" i="3"/>
  <c r="C49" i="1"/>
  <c r="I17" i="3"/>
  <c r="G17" i="3"/>
  <c r="G19" i="3" s="1"/>
  <c r="H19" i="3"/>
  <c r="E16" i="3"/>
  <c r="F19" i="3"/>
  <c r="I10" i="3"/>
  <c r="F51" i="2" l="1"/>
  <c r="E15" i="3"/>
  <c r="E17" i="3" s="1"/>
  <c r="E19" i="3" s="1"/>
  <c r="F49" i="1"/>
  <c r="I12" i="3"/>
  <c r="I19" i="3" l="1"/>
</calcChain>
</file>

<file path=xl/sharedStrings.xml><?xml version="1.0" encoding="utf-8"?>
<sst xmlns="http://schemas.openxmlformats.org/spreadsheetml/2006/main" count="184" uniqueCount="72">
  <si>
    <t>(Rs. In Crore)</t>
  </si>
  <si>
    <t>State</t>
  </si>
  <si>
    <t>CGST</t>
  </si>
  <si>
    <t>SGST</t>
  </si>
  <si>
    <t>IGST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</si>
  <si>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</si>
  <si>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</si>
  <si>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</si>
  <si>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</si>
  <si>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</si>
  <si>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</si>
  <si>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</si>
  <si>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</si>
  <si>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</si>
  <si>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</si>
  <si>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</si>
  <si>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</si>
  <si>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</si>
  <si>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</si>
  <si>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</si>
  <si>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</si>
  <si>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</si>
  <si>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</si>
  <si>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</si>
  <si>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</si>
  <si>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</si>
  <si>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</si>
  <si>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</si>
  <si>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</si>
  <si>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</si>
  <si>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</si>
  <si>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</si>
  <si>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</si>
  <si>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</si>
  <si>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</si>
  <si>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</si>
  <si>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</si>
  <si>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</si>
  <si>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</si>
  <si>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</si>
  <si>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</si>
  <si>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</si>
  <si>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</si>
  <si>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</si>
  <si>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</si>
  <si>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</si>
  <si>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</si>
  <si>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</si>
  <si>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</si>
  <si>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</si>
  <si>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</si>
  <si>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</si>
  <si>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>IGST and CESS on Import - All India</t>
  </si>
  <si>
    <t>State Wise Domestic Refund Disbursemet (RFD-05)</t>
  </si>
  <si>
    <t>Domestic Refund (RFD-05) - All India</t>
  </si>
  <si>
    <t>Total GST Refund - All India</t>
  </si>
  <si>
    <t>Domestic GST Collection- All India</t>
  </si>
  <si>
    <t>Imports</t>
  </si>
  <si>
    <t>Domestic</t>
  </si>
  <si>
    <t>Domestic (RFD-05)</t>
  </si>
  <si>
    <t>Export Refund</t>
  </si>
  <si>
    <t>Lakshawdeep</t>
  </si>
  <si>
    <t>OIDAR</t>
  </si>
  <si>
    <t>Note :</t>
  </si>
  <si>
    <t>The above numbers are provisional and the actuals number may have slightly vary on finalisation</t>
  </si>
  <si>
    <t>The above numbers are provisional and the actual numbers may slightly vary on finalisation</t>
  </si>
  <si>
    <t>s</t>
  </si>
  <si>
    <t>All India Month wise GST Collection and Refund during Financial Year 2026-27</t>
  </si>
  <si>
    <t>REVENUE COLLECTION STATE WISE MONTH WISE DURING FINANCIAL YEAR 2026-2027</t>
  </si>
  <si>
    <t>REFUND DISBURSED STATE WISE MONTH WISE DURING FINANCIAL YEAR 2026-2027</t>
  </si>
  <si>
    <t>Data upto : 31st Aug 2026</t>
  </si>
  <si>
    <t>Financial Year (up to the Month -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</si>
</sst>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7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1" fillId="2" borderId="0" xfId="0" applyFont="1" applyFill="1"/>
    <xf numFmtId="0" fontId="0" fillId="5" borderId="0" xfId="0" applyFill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3" borderId="1" xfId="1" applyNumberFormat="1" applyFont="1" applyFill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4" fontId="0" fillId="0" borderId="0" xfId="1" applyFont="1"/>
    <xf numFmtId="165" fontId="0" fillId="3" borderId="1" xfId="1" applyNumberFormat="1" applyFont="1" applyFill="1" applyBorder="1"/>
    <xf numFmtId="0" fontId="6" fillId="0" borderId="0" xfId="0" applyFont="1" applyAlignment="1">
      <alignment horizontal="left"/>
    </xf>
    <xf numFmtId="165" fontId="8" fillId="3" borderId="1" xfId="1" applyNumberFormat="1" applyFont="1" applyFill="1" applyBorder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6" fillId="0" borderId="0" xfId="0" applyNumberFormat="1" applyFont="1" applyAlignment="1">
      <alignment horizontal="left"/>
    </xf>
    <xf numFmtId="165" fontId="0" fillId="0" borderId="0" xfId="0" applyNumberFormat="1"/>
    <xf numFmtId="165" fontId="0" fillId="0" borderId="1" xfId="1" applyNumberFormat="1" applyFont="1" applyBorder="1" applyAlignment="1"/>
    <xf numFmtId="165" fontId="0" fillId="0" borderId="1" xfId="1" applyNumberFormat="1" applyFont="1" applyFill="1" applyBorder="1" applyAlignment="1"/>
    <xf numFmtId="165" fontId="2" fillId="0" borderId="0" xfId="1" applyNumberFormat="1" applyFont="1" applyAlignment="1">
      <alignment vertical="center"/>
    </xf>
    <xf numFmtId="165" fontId="5" fillId="0" borderId="0" xfId="1" applyNumberFormat="1" applyFont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/>
    <xf numFmtId="165" fontId="1" fillId="3" borderId="1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0" fontId="9" fillId="0" borderId="0" xfId="0" applyFont="1"/>
    <xf numFmtId="1" fontId="0" fillId="0" borderId="0" xfId="1" applyNumberFormat="1" applyFont="1"/>
    <xf numFmtId="0" fontId="7" fillId="0" borderId="0" xfId="0" applyFont="1"/>
    <xf numFmtId="1" fontId="7" fillId="0" borderId="0" xfId="0" applyNumberFormat="1" applyFont="1"/>
    <xf numFmtId="165" fontId="0" fillId="3" borderId="1" xfId="1" applyNumberFormat="1" applyFont="1" applyFill="1" applyBorder="1" applyAlignment="1"/>
    <xf numFmtId="165" fontId="1" fillId="0" borderId="0" xfId="1" applyNumberFormat="1" applyFont="1"/>
    <xf numFmtId="1" fontId="1" fillId="2" borderId="0" xfId="0" applyNumberFormat="1" applyFont="1" applyFill="1"/>
    <xf numFmtId="0" fontId="0" fillId="3" borderId="1" xfId="0" applyFill="1" applyBorder="1" applyAlignment="1">
      <alignment horizontal="center"/>
    </xf>
    <xf numFmtId="2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1" xfId="0" applyNumberFormat="1" applyBorder="1" applyAlignment="1">
      <alignment wrapText="1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7" fontId="1" fillId="2" borderId="2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Y24"/>
  <sheetViews>
    <sheetView tabSelected="1" zoomScale="101" workbookViewId="0">
      <pane xSplit="1" ySplit="8" topLeftCell="J9" activePane="bottomRight" state="frozen"/>
      <selection activeCell="V52" sqref="V52"/>
      <selection pane="topRight" activeCell="V52" sqref="V52"/>
      <selection pane="bottomLeft" activeCell="V52" sqref="V52"/>
      <selection pane="bottomRight" activeCell="V8" sqref="V8"/>
    </sheetView>
  </sheetViews>
  <sheetFormatPr defaultColWidth="11.44140625" defaultRowHeight="14.4" x14ac:dyDescent="0.3"/>
  <cols>
    <col min="1" max="1" width="30.5546875" bestFit="1" customWidth="1"/>
    <col min="2" max="3" width="12.109375" bestFit="1" customWidth="1"/>
    <col min="4" max="4" width="14.77734375" customWidth="1"/>
    <col min="5" max="5" width="16.44140625" customWidth="1"/>
    <col min="6" max="8" width="10.44140625" bestFit="1" customWidth="1"/>
    <col min="9" max="9" width="14" customWidth="1"/>
    <col min="10" max="12" width="10.44140625" bestFit="1" customWidth="1"/>
    <col min="13" max="13" width="12" bestFit="1" customWidth="1"/>
    <col min="14" max="16" width="10.44140625" bestFit="1" customWidth="1"/>
    <col min="17" max="17" width="12" bestFit="1" customWidth="1"/>
    <col min="33" max="33" width="12.77734375" bestFit="1" customWidth="1"/>
    <col min="37" max="37" width="12.77734375" bestFit="1" customWidth="1"/>
    <col min="41" max="41" width="12.77734375" bestFit="1" customWidth="1"/>
    <col min="45" max="45" width="12.77734375" bestFit="1" customWidth="1"/>
    <col min="49" max="49" width="12.77734375" bestFit="1" customWidth="1"/>
  </cols>
  <sheetData>
    <row r="1" spans="1:25" x14ac:dyDescent="0.3">
      <c r="A1" s="58" t="s">
        <v>67</v>
      </c>
      <c r="B1" s="58"/>
      <c r="C1" s="58"/>
      <c r="D1" s="58"/>
      <c r="E1" s="58"/>
      <c r="F1" s="58"/>
      <c r="G1" s="58"/>
      <c r="H1" s="58"/>
    </row>
    <row r="3" spans="1:25" x14ac:dyDescent="0.3">
      <c r="A3" s="1" t="s">
        <v>70</v>
      </c>
    </row>
    <row r="5" spans="1:25" x14ac:dyDescent="0.3">
      <c r="A5" s="1" t="s">
        <v>48</v>
      </c>
    </row>
    <row r="7" spans="1:25" x14ac:dyDescent="0.3">
      <c r="A7" s="62"/>
      <c r="B7" s="59" t="s">
        <v>71</v>
      </c>
      <c r="C7" s="60"/>
      <c r="D7" s="60"/>
      <c r="E7" s="61"/>
      <c r="F7" s="55">
        <v>46113</v>
      </c>
      <c r="G7" s="56"/>
      <c r="H7" s="56"/>
      <c r="I7" s="57"/>
      <c r="J7" s="55">
        <v>46143</v>
      </c>
      <c r="K7" s="56"/>
      <c r="L7" s="56"/>
      <c r="M7" s="57"/>
      <c r="N7" s="55">
        <v>46174</v>
      </c>
      <c r="O7" s="56"/>
      <c r="P7" s="56"/>
      <c r="Q7" s="57"/>
      <c r="R7" s="55">
        <v>46204</v>
      </c>
      <c r="S7" s="56"/>
      <c r="T7" s="56"/>
      <c r="U7" s="57"/>
      <c r="V7" s="55">
        <v>46235</v>
      </c>
      <c r="W7" s="56"/>
      <c r="X7" s="56"/>
      <c r="Y7" s="57"/>
    </row>
    <row r="8" spans="1:25" x14ac:dyDescent="0.3">
      <c r="A8" s="62"/>
      <c r="B8" s="5" t="s">
        <v>2</v>
      </c>
      <c r="C8" s="5" t="s">
        <v>3</v>
      </c>
      <c r="D8" s="5" t="s">
        <v>4</v>
      </c>
      <c r="E8" s="5" t="s">
        <v>43</v>
      </c>
      <c r="F8" s="5" t="s">
        <v>2</v>
      </c>
      <c r="G8" s="5" t="s">
        <v>3</v>
      </c>
      <c r="H8" s="5" t="s">
        <v>4</v>
      </c>
      <c r="I8" s="5" t="s">
        <v>43</v>
      </c>
      <c r="J8" s="5" t="s">
        <v>2</v>
      </c>
      <c r="K8" s="5" t="s">
        <v>3</v>
      </c>
      <c r="L8" s="5" t="s">
        <v>4</v>
      </c>
      <c r="M8" s="5" t="s">
        <v>43</v>
      </c>
      <c r="N8" s="5" t="s">
        <v>2</v>
      </c>
      <c r="O8" s="5" t="s">
        <v>3</v>
      </c>
      <c r="P8" s="5" t="s">
        <v>4</v>
      </c>
      <c r="Q8" s="5" t="s">
        <v>43</v>
      </c>
      <c r="R8" s="5" t="s">
        <v>2</v>
      </c>
      <c r="S8" s="5" t="s">
        <v>3</v>
      </c>
      <c r="T8" s="5" t="s">
        <v>4</v>
      </c>
      <c r="U8" s="5" t="s">
        <v>43</v>
      </c>
      <c r="V8" s="5" t="s">
        <v>2</v>
      </c>
      <c r="W8" s="5" t="s">
        <v>3</v>
      </c>
      <c r="X8" s="5" t="s">
        <v>4</v>
      </c>
      <c r="Y8" s="5" t="s">
        <v>43</v>
      </c>
    </row>
    <row r="9" spans="1:25" x14ac:dyDescent="0.3">
      <c r="A9" s="8" t="s">
        <v>46</v>
      </c>
    </row>
    <row r="10" spans="1:25" x14ac:dyDescent="0.3">
      <c r="A10" s="4" t="s">
        <v>58</v>
      </c>
      <c r="B10" s="23">
        <f>'Collections-Statewise'!C45</f>
        <v>205160.57</v>
      </c>
      <c r="C10" s="23">
        <f>'Collections-Statewise'!D45</f>
        <v>245787</v>
      </c>
      <c r="D10" s="23">
        <f>'Collections-Statewise'!E45</f>
        <v>285422.84999999992</v>
      </c>
      <c r="E10" s="23">
        <f>'Collections-Statewise'!F45</f>
        <v>736370.42</v>
      </c>
      <c r="F10" s="12">
        <f>'Collections-Statewise'!G45</f>
        <v>52140.250000000007</v>
      </c>
      <c r="G10" s="12">
        <f>'Collections-Statewise'!H45</f>
        <v>61330.55999999999</v>
      </c>
      <c r="H10" s="12">
        <f>'Collections-Statewise'!I45</f>
        <v>71651.26999999999</v>
      </c>
      <c r="I10" s="12">
        <f>'Collections-Statewise'!J45</f>
        <v>185122.08000000005</v>
      </c>
      <c r="J10" s="12">
        <f>'Collections-Statewise'!K45</f>
        <v>37397.05999999999</v>
      </c>
      <c r="K10" s="12">
        <f>'Collections-Statewise'!L45</f>
        <v>45143.24</v>
      </c>
      <c r="L10" s="12">
        <f>'Collections-Statewise'!M45</f>
        <v>51990.160000000025</v>
      </c>
      <c r="M10" s="12">
        <f>'Collections-Statewise'!N45</f>
        <v>134530.46</v>
      </c>
      <c r="N10" s="12">
        <f>'Collections-Statewise'!O45</f>
        <v>37375.840000000004</v>
      </c>
      <c r="O10" s="12">
        <f>'Collections-Statewise'!P45</f>
        <v>45116.310000000005</v>
      </c>
      <c r="P10" s="12">
        <f>'Collections-Statewise'!Q45</f>
        <v>52281.94</v>
      </c>
      <c r="Q10" s="12">
        <f>'Collections-Statewise'!R45</f>
        <v>134774.09</v>
      </c>
      <c r="R10" s="12">
        <f>'Collections-Statewise'!S45</f>
        <v>39834.65</v>
      </c>
      <c r="S10" s="12">
        <f>'Collections-Statewise'!T45</f>
        <v>47880.949999999983</v>
      </c>
      <c r="T10" s="12">
        <f>'Collections-Statewise'!U45</f>
        <v>56979.199999999997</v>
      </c>
      <c r="U10" s="12">
        <f>'Collections-Statewise'!V45</f>
        <v>144694.80000000002</v>
      </c>
      <c r="V10" s="12">
        <f>'Collections-Statewise'!W45</f>
        <v>38412.76999999999</v>
      </c>
      <c r="W10" s="12">
        <f>'Collections-Statewise'!X45</f>
        <v>46315.94</v>
      </c>
      <c r="X10" s="12">
        <f>'Collections-Statewise'!Y45</f>
        <v>52520.280000000021</v>
      </c>
      <c r="Y10" s="12">
        <f>'Collections-Statewise'!Z45</f>
        <v>137248.98999999996</v>
      </c>
    </row>
    <row r="11" spans="1:25" x14ac:dyDescent="0.3">
      <c r="A11" s="4" t="s">
        <v>57</v>
      </c>
      <c r="B11" s="23">
        <f>'Collections-Statewise'!C47</f>
        <v>0</v>
      </c>
      <c r="C11" s="23">
        <f>'Collections-Statewise'!D47</f>
        <v>0</v>
      </c>
      <c r="D11" s="23">
        <f>'Collections-Statewise'!E47</f>
        <v>306387.02723568003</v>
      </c>
      <c r="E11" s="23">
        <f>'Collections-Statewise'!F47</f>
        <v>306387.02723568003</v>
      </c>
      <c r="F11" s="12">
        <f>'Collections-Statewise'!G47</f>
        <v>0</v>
      </c>
      <c r="G11" s="12">
        <f>'Collections-Statewise'!H47</f>
        <v>0</v>
      </c>
      <c r="H11" s="12">
        <f>'Collections-Statewise'!I47</f>
        <v>57580.406101599998</v>
      </c>
      <c r="I11" s="12">
        <f>'Collections-Statewise'!J47</f>
        <v>57580.406101599998</v>
      </c>
      <c r="J11" s="12">
        <f>'Collections-Statewise'!K47</f>
        <v>0</v>
      </c>
      <c r="K11" s="12">
        <f>'Collections-Statewise'!L47</f>
        <v>0</v>
      </c>
      <c r="L11" s="12">
        <f>'Collections-Statewise'!M47</f>
        <v>59653.8985875</v>
      </c>
      <c r="M11" s="12">
        <f>'Collections-Statewise'!N47</f>
        <v>59653.8985875</v>
      </c>
      <c r="N11" s="12">
        <f>'Collections-Statewise'!O47</f>
        <v>0</v>
      </c>
      <c r="O11" s="12">
        <f>'Collections-Statewise'!P47</f>
        <v>0</v>
      </c>
      <c r="P11" s="12">
        <f>'Collections-Statewise'!Q47</f>
        <v>60038.301154890003</v>
      </c>
      <c r="Q11" s="12">
        <f>'Collections-Statewise'!R47</f>
        <v>60038.301154890003</v>
      </c>
      <c r="R11" s="12">
        <f>'Collections-Statewise'!S47</f>
        <v>0</v>
      </c>
      <c r="S11" s="12">
        <f>'Collections-Statewise'!T47</f>
        <v>0</v>
      </c>
      <c r="T11" s="12">
        <f>'Collections-Statewise'!U47</f>
        <v>66510.611412290003</v>
      </c>
      <c r="U11" s="12">
        <f>'Collections-Statewise'!V47</f>
        <v>66510.611412290003</v>
      </c>
      <c r="V11" s="12">
        <f>'Collections-Statewise'!W47</f>
        <v>0</v>
      </c>
      <c r="W11" s="12">
        <f>'Collections-Statewise'!X47</f>
        <v>0</v>
      </c>
      <c r="X11" s="12">
        <f>'Collections-Statewise'!Y47</f>
        <v>62603.809979400001</v>
      </c>
      <c r="Y11" s="12">
        <f>'Collections-Statewise'!Z47</f>
        <v>62603.809979400001</v>
      </c>
    </row>
    <row r="12" spans="1:25" x14ac:dyDescent="0.3">
      <c r="A12" s="8" t="s">
        <v>44</v>
      </c>
      <c r="B12" s="13">
        <f>SUM(B10:B11)</f>
        <v>205160.57</v>
      </c>
      <c r="C12" s="13">
        <f t="shared" ref="C12:I12" si="0">SUM(C10:C11)</f>
        <v>245787</v>
      </c>
      <c r="D12" s="13">
        <f t="shared" si="0"/>
        <v>591809.87723567989</v>
      </c>
      <c r="E12" s="13">
        <f t="shared" si="0"/>
        <v>1042757.4472356801</v>
      </c>
      <c r="F12" s="14">
        <f t="shared" si="0"/>
        <v>52140.250000000007</v>
      </c>
      <c r="G12" s="14">
        <f t="shared" si="0"/>
        <v>61330.55999999999</v>
      </c>
      <c r="H12" s="14">
        <f t="shared" si="0"/>
        <v>129231.67610159999</v>
      </c>
      <c r="I12" s="14">
        <f t="shared" si="0"/>
        <v>242702.48610160005</v>
      </c>
      <c r="J12" s="14">
        <f t="shared" ref="J12:M12" si="1">SUM(J10:J11)</f>
        <v>37397.05999999999</v>
      </c>
      <c r="K12" s="14">
        <f t="shared" si="1"/>
        <v>45143.24</v>
      </c>
      <c r="L12" s="14">
        <f t="shared" si="1"/>
        <v>111644.05858750003</v>
      </c>
      <c r="M12" s="14">
        <f t="shared" si="1"/>
        <v>194184.3585875</v>
      </c>
      <c r="N12" s="14">
        <f t="shared" ref="N12:Q12" si="2">SUM(N10:N11)</f>
        <v>37375.840000000004</v>
      </c>
      <c r="O12" s="14">
        <f t="shared" si="2"/>
        <v>45116.310000000005</v>
      </c>
      <c r="P12" s="14">
        <f t="shared" si="2"/>
        <v>112320.24115489001</v>
      </c>
      <c r="Q12" s="14">
        <f t="shared" si="2"/>
        <v>194812.39115489001</v>
      </c>
      <c r="R12" s="14">
        <f t="shared" ref="R12:U12" si="3">SUM(R10:R11)</f>
        <v>39834.65</v>
      </c>
      <c r="S12" s="14">
        <f t="shared" si="3"/>
        <v>47880.949999999983</v>
      </c>
      <c r="T12" s="14">
        <f t="shared" si="3"/>
        <v>123489.81141229</v>
      </c>
      <c r="U12" s="14">
        <f t="shared" si="3"/>
        <v>211205.41141229001</v>
      </c>
      <c r="V12" s="14">
        <f t="shared" ref="V12:Y12" si="4">SUM(V10:V11)</f>
        <v>38412.76999999999</v>
      </c>
      <c r="W12" s="14">
        <f t="shared" si="4"/>
        <v>46315.94</v>
      </c>
      <c r="X12" s="14">
        <f t="shared" si="4"/>
        <v>115124.08997940001</v>
      </c>
      <c r="Y12" s="14">
        <f t="shared" si="4"/>
        <v>199852.79997939995</v>
      </c>
    </row>
    <row r="13" spans="1:25" x14ac:dyDescent="0.3">
      <c r="B13" s="22"/>
      <c r="C13" s="22"/>
      <c r="D13" s="22"/>
      <c r="E13" s="22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3">
      <c r="A14" s="52" t="s">
        <v>47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 x14ac:dyDescent="0.3">
      <c r="A15" s="53" t="s">
        <v>59</v>
      </c>
      <c r="B15" s="23">
        <f>'Refund-Statewise'!C47</f>
        <v>21740.51</v>
      </c>
      <c r="C15" s="23">
        <f>'Refund-Statewise'!D47</f>
        <v>25872.05</v>
      </c>
      <c r="D15" s="23">
        <f>'Refund-Statewise'!E47</f>
        <v>43350.65</v>
      </c>
      <c r="E15" s="23">
        <f>'Refund-Statewise'!F47</f>
        <v>90963.210000000021</v>
      </c>
      <c r="F15" s="17">
        <f>'Refund-Statewise'!G47</f>
        <v>5253.130000000001</v>
      </c>
      <c r="G15" s="17">
        <f>'Refund-Statewise'!H47</f>
        <v>5889.0200000000013</v>
      </c>
      <c r="H15" s="17">
        <f>'Refund-Statewise'!I47</f>
        <v>8854.1299999999992</v>
      </c>
      <c r="I15" s="17">
        <f>'Refund-Statewise'!J47</f>
        <v>19996.280000000002</v>
      </c>
      <c r="J15" s="17">
        <f>'Refund-Statewise'!K47</f>
        <v>4117.6099999999988</v>
      </c>
      <c r="K15" s="17">
        <f>'Refund-Statewise'!L47</f>
        <v>5471.7</v>
      </c>
      <c r="L15" s="17">
        <f>'Refund-Statewise'!M47</f>
        <v>7440.7400000000007</v>
      </c>
      <c r="M15" s="17">
        <f>'Refund-Statewise'!N47</f>
        <v>17030.05</v>
      </c>
      <c r="N15" s="17">
        <f>'Refund-Statewise'!O47</f>
        <v>4378.76</v>
      </c>
      <c r="O15" s="17">
        <f>'Refund-Statewise'!P47</f>
        <v>5047.4399999999987</v>
      </c>
      <c r="P15" s="17">
        <f>'Refund-Statewise'!Q47</f>
        <v>8340.57</v>
      </c>
      <c r="Q15" s="17">
        <f>'Refund-Statewise'!R47</f>
        <v>17766.77</v>
      </c>
      <c r="R15" s="17">
        <f>'Refund-Statewise'!S47</f>
        <v>4100.7300000000005</v>
      </c>
      <c r="S15" s="17">
        <f>'Refund-Statewise'!T47</f>
        <v>4908.3999999999996</v>
      </c>
      <c r="T15" s="17">
        <f>'Refund-Statewise'!U47</f>
        <v>8670.9</v>
      </c>
      <c r="U15" s="17">
        <f>'Refund-Statewise'!V47</f>
        <v>17680.030000000002</v>
      </c>
      <c r="V15" s="17">
        <f>'Refund-Statewise'!W47</f>
        <v>3890.2800000000007</v>
      </c>
      <c r="W15" s="17">
        <f>'Refund-Statewise'!X47</f>
        <v>4555.4900000000007</v>
      </c>
      <c r="X15" s="17">
        <f>'Refund-Statewise'!Y47</f>
        <v>10044.31</v>
      </c>
      <c r="Y15" s="17">
        <f>'Refund-Statewise'!Z47</f>
        <v>18490.080000000002</v>
      </c>
    </row>
    <row r="16" spans="1:25" x14ac:dyDescent="0.3">
      <c r="A16" s="54" t="s">
        <v>60</v>
      </c>
      <c r="B16" s="23">
        <f>'Refund-Statewise'!C49</f>
        <v>0</v>
      </c>
      <c r="C16" s="23">
        <f>'Refund-Statewise'!D49</f>
        <v>0</v>
      </c>
      <c r="D16" s="23">
        <f>'Refund-Statewise'!E49</f>
        <v>62309.290189699997</v>
      </c>
      <c r="E16" s="23">
        <f>'Refund-Statewise'!F49</f>
        <v>62309.290189699997</v>
      </c>
      <c r="F16" s="12">
        <f>'Refund-Statewise'!G49</f>
        <v>0</v>
      </c>
      <c r="G16" s="12">
        <f>'Refund-Statewise'!H49</f>
        <v>0</v>
      </c>
      <c r="H16" s="12">
        <f>'Refund-Statewise'!I49</f>
        <v>11796.694172899999</v>
      </c>
      <c r="I16" s="12">
        <f>'Refund-Statewise'!J49</f>
        <v>11796.694172899999</v>
      </c>
      <c r="J16" s="12">
        <f>'Refund-Statewise'!K49</f>
        <v>0</v>
      </c>
      <c r="K16" s="12">
        <f>'Refund-Statewise'!L49</f>
        <v>0</v>
      </c>
      <c r="L16" s="12">
        <f>'Refund-Statewise'!M49</f>
        <v>10250.482122900001</v>
      </c>
      <c r="M16" s="12">
        <f>'Refund-Statewise'!N49</f>
        <v>10250.482122900001</v>
      </c>
      <c r="N16" s="12">
        <f>'Refund-Statewise'!O49</f>
        <v>0</v>
      </c>
      <c r="O16" s="12">
        <f>'Refund-Statewise'!P49</f>
        <v>0</v>
      </c>
      <c r="P16" s="12">
        <f>'Refund-Statewise'!Q49</f>
        <v>14668.778136700001</v>
      </c>
      <c r="Q16" s="12">
        <f>'Refund-Statewise'!R49</f>
        <v>14668.778136700001</v>
      </c>
      <c r="R16" s="12">
        <f>'Refund-Statewise'!S49</f>
        <v>0</v>
      </c>
      <c r="S16" s="12">
        <f>'Refund-Statewise'!T49</f>
        <v>0</v>
      </c>
      <c r="T16" s="12">
        <f>'Refund-Statewise'!U49</f>
        <v>12288.0448048</v>
      </c>
      <c r="U16" s="12">
        <f>'Refund-Statewise'!V49</f>
        <v>12288.0448048</v>
      </c>
      <c r="V16" s="12">
        <f>'Refund-Statewise'!W49</f>
        <v>0</v>
      </c>
      <c r="W16" s="12">
        <f>'Refund-Statewise'!X49</f>
        <v>0</v>
      </c>
      <c r="X16" s="12">
        <f>'Refund-Statewise'!Y49</f>
        <v>13305.290952400001</v>
      </c>
      <c r="Y16" s="12">
        <f>'Refund-Statewise'!Z49</f>
        <v>13305.290952400001</v>
      </c>
    </row>
    <row r="17" spans="1:25" x14ac:dyDescent="0.3">
      <c r="A17" s="52" t="s">
        <v>45</v>
      </c>
      <c r="B17" s="13">
        <f>SUM(B15:B16)</f>
        <v>21740.51</v>
      </c>
      <c r="C17" s="13">
        <f t="shared" ref="C17" si="5">SUM(C15:C16)</f>
        <v>25872.05</v>
      </c>
      <c r="D17" s="13">
        <f t="shared" ref="D17" si="6">SUM(D15:D16)</f>
        <v>105659.94018969999</v>
      </c>
      <c r="E17" s="13">
        <f t="shared" ref="E17" si="7">SUM(E15:E16)</f>
        <v>153272.50018970002</v>
      </c>
      <c r="F17" s="14">
        <f t="shared" ref="F17" si="8">SUM(F15:F16)</f>
        <v>5253.130000000001</v>
      </c>
      <c r="G17" s="14">
        <f t="shared" ref="G17" si="9">SUM(G15:G16)</f>
        <v>5889.0200000000013</v>
      </c>
      <c r="H17" s="14">
        <f t="shared" ref="H17" si="10">SUM(H15:H16)</f>
        <v>20650.8241729</v>
      </c>
      <c r="I17" s="14">
        <f t="shared" ref="I17:L17" si="11">SUM(I15:I16)</f>
        <v>31792.974172900002</v>
      </c>
      <c r="J17" s="14">
        <f t="shared" si="11"/>
        <v>4117.6099999999988</v>
      </c>
      <c r="K17" s="14">
        <f t="shared" si="11"/>
        <v>5471.7</v>
      </c>
      <c r="L17" s="14">
        <f t="shared" si="11"/>
        <v>17691.222122900002</v>
      </c>
      <c r="M17" s="14">
        <f t="shared" ref="M17:P17" si="12">SUM(M15:M16)</f>
        <v>27280.5321229</v>
      </c>
      <c r="N17" s="14">
        <f t="shared" si="12"/>
        <v>4378.76</v>
      </c>
      <c r="O17" s="14">
        <f t="shared" si="12"/>
        <v>5047.4399999999987</v>
      </c>
      <c r="P17" s="14">
        <f t="shared" si="12"/>
        <v>23009.348136699999</v>
      </c>
      <c r="Q17" s="14">
        <f t="shared" ref="Q17:T17" si="13">SUM(Q15:Q16)</f>
        <v>32435.548136700003</v>
      </c>
      <c r="R17" s="14">
        <f t="shared" si="13"/>
        <v>4100.7300000000005</v>
      </c>
      <c r="S17" s="14">
        <f t="shared" si="13"/>
        <v>4908.3999999999996</v>
      </c>
      <c r="T17" s="14">
        <f t="shared" si="13"/>
        <v>20958.944804799998</v>
      </c>
      <c r="U17" s="14">
        <f t="shared" ref="U17:X17" si="14">SUM(U15:U16)</f>
        <v>29968.074804800002</v>
      </c>
      <c r="V17" s="14">
        <f t="shared" si="14"/>
        <v>3890.2800000000007</v>
      </c>
      <c r="W17" s="14">
        <f t="shared" si="14"/>
        <v>4555.4900000000007</v>
      </c>
      <c r="X17" s="14">
        <f t="shared" si="14"/>
        <v>23349.6009524</v>
      </c>
      <c r="Y17" s="14">
        <f t="shared" ref="Y17" si="15">SUM(Y15:Y16)</f>
        <v>31795.370952400001</v>
      </c>
    </row>
    <row r="18" spans="1:25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3">
      <c r="A19" s="9" t="s">
        <v>50</v>
      </c>
      <c r="B19" s="16">
        <f>B12-B17</f>
        <v>183420.06</v>
      </c>
      <c r="C19" s="16">
        <f t="shared" ref="C19:I19" si="16">C12-C17</f>
        <v>219914.95</v>
      </c>
      <c r="D19" s="16">
        <f t="shared" si="16"/>
        <v>486149.9370459799</v>
      </c>
      <c r="E19" s="16">
        <f t="shared" si="16"/>
        <v>889484.94704598002</v>
      </c>
      <c r="F19" s="16">
        <f t="shared" si="16"/>
        <v>46887.12000000001</v>
      </c>
      <c r="G19" s="16">
        <f t="shared" si="16"/>
        <v>55441.539999999986</v>
      </c>
      <c r="H19" s="16">
        <f t="shared" si="16"/>
        <v>108580.85192869999</v>
      </c>
      <c r="I19" s="16">
        <f t="shared" si="16"/>
        <v>210909.51192870006</v>
      </c>
      <c r="J19" s="16">
        <f t="shared" ref="J19:M19" si="17">J12-J17</f>
        <v>33279.44999999999</v>
      </c>
      <c r="K19" s="16">
        <f t="shared" si="17"/>
        <v>39671.54</v>
      </c>
      <c r="L19" s="16">
        <f t="shared" si="17"/>
        <v>93952.836464600026</v>
      </c>
      <c r="M19" s="16">
        <f t="shared" si="17"/>
        <v>166903.82646459999</v>
      </c>
      <c r="N19" s="16">
        <f t="shared" ref="N19:Q19" si="18">N12-N17</f>
        <v>32997.08</v>
      </c>
      <c r="O19" s="16">
        <f t="shared" si="18"/>
        <v>40068.87000000001</v>
      </c>
      <c r="P19" s="16">
        <f t="shared" si="18"/>
        <v>89310.893018190021</v>
      </c>
      <c r="Q19" s="16">
        <f t="shared" si="18"/>
        <v>162376.84301819</v>
      </c>
      <c r="R19" s="16">
        <f t="shared" ref="R19:U19" si="19">R12-R17</f>
        <v>35733.919999999998</v>
      </c>
      <c r="S19" s="16">
        <f t="shared" si="19"/>
        <v>42972.549999999981</v>
      </c>
      <c r="T19" s="16">
        <f t="shared" si="19"/>
        <v>102530.86660749</v>
      </c>
      <c r="U19" s="16">
        <f t="shared" si="19"/>
        <v>181237.33660749</v>
      </c>
      <c r="V19" s="16">
        <f t="shared" ref="V19:Y19" si="20">V12-V17</f>
        <v>34522.489999999991</v>
      </c>
      <c r="W19" s="16">
        <f t="shared" si="20"/>
        <v>41760.450000000004</v>
      </c>
      <c r="X19" s="16">
        <f t="shared" si="20"/>
        <v>91774.489027000018</v>
      </c>
      <c r="Y19" s="16">
        <f t="shared" si="20"/>
        <v>168057.42902699995</v>
      </c>
    </row>
    <row r="20" spans="1:25" x14ac:dyDescent="0.3">
      <c r="E20" s="34"/>
    </row>
    <row r="21" spans="1:25" x14ac:dyDescent="0.3">
      <c r="B21" s="34"/>
      <c r="C21" s="34"/>
      <c r="D21" s="34"/>
      <c r="E21" s="34"/>
    </row>
    <row r="22" spans="1:25" x14ac:dyDescent="0.3">
      <c r="E22" s="34"/>
      <c r="F22" s="34"/>
    </row>
    <row r="23" spans="1:25" x14ac:dyDescent="0.3">
      <c r="B23" s="34"/>
      <c r="C23" s="34"/>
      <c r="D23" s="34"/>
      <c r="E23" s="34"/>
    </row>
    <row r="24" spans="1:25" ht="15.6" x14ac:dyDescent="0.3">
      <c r="A24" s="24" t="s">
        <v>63</v>
      </c>
      <c r="B24" s="45" t="s">
        <v>65</v>
      </c>
      <c r="C24" s="45"/>
      <c r="D24" s="45"/>
      <c r="E24" s="45"/>
      <c r="F24" s="45"/>
      <c r="G24" s="45"/>
    </row>
  </sheetData>
  <mergeCells count="8">
    <mergeCell ref="V7:Y7"/>
    <mergeCell ref="R7:U7"/>
    <mergeCell ref="N7:Q7"/>
    <mergeCell ref="A1:H1"/>
    <mergeCell ref="B7:E7"/>
    <mergeCell ref="F7:I7"/>
    <mergeCell ref="A7:A8"/>
    <mergeCell ref="J7:M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3"/>
  <sheetViews>
    <sheetView zoomScale="70" zoomScaleNormal="70" workbookViewId="0">
      <pane xSplit="2" ySplit="6" topLeftCell="J18" activePane="bottomRight" state="frozen"/>
      <selection activeCell="BD22" sqref="BD22"/>
      <selection pane="topRight" activeCell="BD22" sqref="BD22"/>
      <selection pane="bottomLeft" activeCell="BD22" sqref="BD22"/>
      <selection pane="bottomRight" activeCell="U45" sqref="U45"/>
    </sheetView>
  </sheetViews>
  <sheetFormatPr defaultColWidth="11.44140625" defaultRowHeight="14.4" x14ac:dyDescent="0.3"/>
  <cols>
    <col min="1" max="1" width="7.6640625" bestFit="1" customWidth="1"/>
    <col min="2" max="2" width="25.109375" customWidth="1"/>
    <col min="3" max="5" width="12.44140625" bestFit="1" customWidth="1"/>
    <col min="6" max="6" width="14.77734375" customWidth="1"/>
    <col min="7" max="9" width="10.77734375" bestFit="1" customWidth="1"/>
    <col min="10" max="10" width="12.44140625" bestFit="1" customWidth="1"/>
    <col min="11" max="13" width="10.77734375" bestFit="1" customWidth="1"/>
    <col min="14" max="14" width="12.44140625" bestFit="1" customWidth="1"/>
    <col min="15" max="17" width="10.77734375" bestFit="1" customWidth="1"/>
    <col min="18" max="18" width="12.44140625" bestFit="1" customWidth="1"/>
    <col min="19" max="21" width="10.77734375" bestFit="1" customWidth="1"/>
    <col min="22" max="22" width="12.44140625" bestFit="1" customWidth="1"/>
    <col min="23" max="25" width="10.77734375" bestFit="1" customWidth="1"/>
    <col min="26" max="26" width="12.44140625" bestFit="1" customWidth="1"/>
    <col min="27" max="29" width="10.77734375" bestFit="1" customWidth="1"/>
    <col min="30" max="30" width="12.44140625" bestFit="1" customWidth="1"/>
    <col min="31" max="33" width="10.77734375" bestFit="1" customWidth="1"/>
    <col min="34" max="34" width="12.44140625" bestFit="1" customWidth="1"/>
    <col min="35" max="35" width="12.109375" customWidth="1"/>
    <col min="36" max="37" width="13.33203125" bestFit="1" customWidth="1"/>
    <col min="38" max="38" width="15" bestFit="1" customWidth="1"/>
    <col min="39" max="39" width="12.109375" customWidth="1"/>
    <col min="40" max="41" width="13.33203125" bestFit="1" customWidth="1"/>
    <col min="42" max="42" width="15" bestFit="1" customWidth="1"/>
    <col min="43" max="43" width="12.109375" customWidth="1"/>
    <col min="44" max="45" width="13.33203125" bestFit="1" customWidth="1"/>
    <col min="46" max="46" width="15" bestFit="1" customWidth="1"/>
    <col min="47" max="47" width="12.109375" customWidth="1"/>
    <col min="48" max="49" width="13.33203125" bestFit="1" customWidth="1"/>
    <col min="50" max="50" width="15" bestFit="1" customWidth="1"/>
    <col min="51" max="51" width="12.109375" customWidth="1"/>
    <col min="52" max="54" width="13.33203125" bestFit="1" customWidth="1"/>
    <col min="55" max="55" width="15" bestFit="1" customWidth="1"/>
  </cols>
  <sheetData>
    <row r="1" spans="1:51" x14ac:dyDescent="0.3">
      <c r="A1" s="10" t="s">
        <v>68</v>
      </c>
      <c r="B1" s="10"/>
      <c r="C1" s="10"/>
      <c r="D1" s="10"/>
      <c r="E1" s="10"/>
      <c r="F1" s="10"/>
    </row>
    <row r="2" spans="1:51" x14ac:dyDescent="0.3">
      <c r="A2" s="67" t="str">
        <f>'GST_Revenue-All_India'!A3</f>
        <v>Data upto : 31st Aug 2026</v>
      </c>
      <c r="B2" s="67"/>
    </row>
    <row r="3" spans="1:51" ht="18" x14ac:dyDescent="0.35">
      <c r="C3" s="1" t="s">
        <v>0</v>
      </c>
      <c r="AI3" s="43"/>
      <c r="AM3" s="43"/>
      <c r="AQ3" s="43"/>
      <c r="AU3" s="43"/>
      <c r="AY3" s="43"/>
    </row>
    <row r="4" spans="1:51" x14ac:dyDescent="0.3">
      <c r="A4" s="68" t="s">
        <v>51</v>
      </c>
      <c r="B4" s="68"/>
      <c r="C4" s="1"/>
    </row>
    <row r="5" spans="1:51" x14ac:dyDescent="0.3">
      <c r="A5" s="66" t="s">
        <v>42</v>
      </c>
      <c r="B5" s="66" t="s">
        <v>1</v>
      </c>
      <c r="C5" s="59" t="str">
        <f>'GST_Revenue-All_India'!B7</f>
        <v>Financial Year (up to the Month - Aug 2026)</v>
      </c>
      <c r="D5" s="60"/>
      <c r="E5" s="60"/>
      <c r="F5" s="61"/>
      <c r="G5" s="55">
        <v>46113</v>
      </c>
      <c r="H5" s="56"/>
      <c r="I5" s="56"/>
      <c r="J5" s="57"/>
      <c r="K5" s="55">
        <v>46143</v>
      </c>
      <c r="L5" s="56"/>
      <c r="M5" s="56"/>
      <c r="N5" s="57"/>
      <c r="O5" s="55">
        <v>46174</v>
      </c>
      <c r="P5" s="56"/>
      <c r="Q5" s="56"/>
      <c r="R5" s="57"/>
      <c r="S5" s="55">
        <v>46204</v>
      </c>
      <c r="T5" s="56"/>
      <c r="U5" s="56"/>
      <c r="V5" s="57"/>
      <c r="W5" s="55">
        <v>46235</v>
      </c>
      <c r="X5" s="56"/>
      <c r="Y5" s="56"/>
      <c r="Z5" s="57"/>
    </row>
    <row r="6" spans="1:51" x14ac:dyDescent="0.3">
      <c r="A6" s="66"/>
      <c r="B6" s="66"/>
      <c r="C6" s="5" t="s">
        <v>2</v>
      </c>
      <c r="D6" s="5" t="s">
        <v>3</v>
      </c>
      <c r="E6" s="5" t="s">
        <v>4</v>
      </c>
      <c r="F6" s="5" t="s">
        <v>43</v>
      </c>
      <c r="G6" s="5" t="s">
        <v>2</v>
      </c>
      <c r="H6" s="5" t="s">
        <v>3</v>
      </c>
      <c r="I6" s="5" t="s">
        <v>4</v>
      </c>
      <c r="J6" s="5" t="s">
        <v>43</v>
      </c>
      <c r="K6" s="5" t="s">
        <v>2</v>
      </c>
      <c r="L6" s="5" t="s">
        <v>3</v>
      </c>
      <c r="M6" s="5" t="s">
        <v>4</v>
      </c>
      <c r="N6" s="5" t="s">
        <v>43</v>
      </c>
      <c r="O6" s="5" t="s">
        <v>2</v>
      </c>
      <c r="P6" s="5" t="s">
        <v>3</v>
      </c>
      <c r="Q6" s="5" t="s">
        <v>4</v>
      </c>
      <c r="R6" s="5" t="s">
        <v>43</v>
      </c>
      <c r="S6" s="5" t="s">
        <v>2</v>
      </c>
      <c r="T6" s="5" t="s">
        <v>3</v>
      </c>
      <c r="U6" s="5" t="s">
        <v>4</v>
      </c>
      <c r="V6" s="5" t="s">
        <v>43</v>
      </c>
      <c r="W6" s="5" t="s">
        <v>2</v>
      </c>
      <c r="X6" s="5" t="s">
        <v>3</v>
      </c>
      <c r="Y6" s="5" t="s">
        <v>4</v>
      </c>
      <c r="Z6" s="5" t="s">
        <v>43</v>
      </c>
    </row>
    <row r="7" spans="1:51" x14ac:dyDescent="0.3">
      <c r="A7" s="6">
        <v>1</v>
      </c>
      <c r="B7" s="2" t="s">
        <v>5</v>
      </c>
      <c r="C7" s="18">
        <f t="shared" ref="C7:C44" si="0">G7+K7+O7+S7+W7+AA7+AE7+AI7+AM7+AQ7+AU7+AY7</f>
        <v>1001.77</v>
      </c>
      <c r="D7" s="18">
        <f t="shared" ref="D7:D44" si="1">H7+L7+P7+T7+X7+AB7+AF7+AJ7+AN7+AR7+AV7+AZ7</f>
        <v>1335.1000000000001</v>
      </c>
      <c r="E7" s="18">
        <f t="shared" ref="E7:E44" si="2">I7+M7+Q7+U7+Y7+AC7+AG7+AK7+AO7+AS7+AW7+BA7</f>
        <v>595.72</v>
      </c>
      <c r="F7" s="18">
        <f>J7+N7+R7+V7+Z7+AD7+AH7+AL7+AP7+AT7+AX7+BB7</f>
        <v>2932.59</v>
      </c>
      <c r="G7" s="19">
        <v>344.45</v>
      </c>
      <c r="H7" s="19">
        <v>445.97</v>
      </c>
      <c r="I7" s="19">
        <v>123.69</v>
      </c>
      <c r="J7" s="19">
        <f t="shared" ref="J7:J44" si="3">SUM(G7:I7)</f>
        <v>914.11000000000013</v>
      </c>
      <c r="K7" s="19">
        <v>145.99</v>
      </c>
      <c r="L7" s="19">
        <v>198.72</v>
      </c>
      <c r="M7" s="19">
        <v>106.05</v>
      </c>
      <c r="N7" s="19">
        <f t="shared" ref="N7:N44" si="4">SUM(K7:M7)</f>
        <v>450.76000000000005</v>
      </c>
      <c r="O7" s="19">
        <v>161.09</v>
      </c>
      <c r="P7" s="19">
        <v>214.71</v>
      </c>
      <c r="Q7" s="19">
        <v>94.39</v>
      </c>
      <c r="R7" s="19">
        <f t="shared" ref="R7:R44" si="5">SUM(O7:Q7)</f>
        <v>470.19</v>
      </c>
      <c r="S7" s="19">
        <v>183.39</v>
      </c>
      <c r="T7" s="19">
        <v>248.05</v>
      </c>
      <c r="U7" s="19">
        <v>146.69</v>
      </c>
      <c r="V7" s="19">
        <f t="shared" ref="V7:V44" si="6">SUM(S7:U7)</f>
        <v>578.13</v>
      </c>
      <c r="W7" s="19">
        <v>166.85</v>
      </c>
      <c r="X7" s="19">
        <v>227.65</v>
      </c>
      <c r="Y7" s="19">
        <v>124.9</v>
      </c>
      <c r="Z7" s="19">
        <f t="shared" ref="Z7:Z30" si="7">SUM(W7:Y7)</f>
        <v>519.4</v>
      </c>
    </row>
    <row r="8" spans="1:51" x14ac:dyDescent="0.3">
      <c r="A8" s="6">
        <v>2</v>
      </c>
      <c r="B8" s="2" t="s">
        <v>6</v>
      </c>
      <c r="C8" s="18">
        <f t="shared" si="0"/>
        <v>913.66000000000008</v>
      </c>
      <c r="D8" s="18">
        <f t="shared" si="1"/>
        <v>1215.29</v>
      </c>
      <c r="E8" s="18">
        <f t="shared" si="2"/>
        <v>1435.9400000000003</v>
      </c>
      <c r="F8" s="18">
        <f t="shared" ref="F8:F44" si="8">J8+N8+R8+V8+Z8+AD8+AH8+AL8+AP8+AT8+AX8+BB8</f>
        <v>3564.8900000000003</v>
      </c>
      <c r="G8" s="19">
        <v>239.47</v>
      </c>
      <c r="H8" s="19">
        <v>321.89</v>
      </c>
      <c r="I8" s="19">
        <v>323.23</v>
      </c>
      <c r="J8" s="19">
        <f t="shared" si="3"/>
        <v>884.59</v>
      </c>
      <c r="K8" s="19">
        <v>151.87</v>
      </c>
      <c r="L8" s="19">
        <v>200.9</v>
      </c>
      <c r="M8" s="19">
        <v>262.42</v>
      </c>
      <c r="N8" s="19">
        <f t="shared" si="4"/>
        <v>615.19000000000005</v>
      </c>
      <c r="O8" s="19">
        <v>164.32</v>
      </c>
      <c r="P8" s="19">
        <v>219.25</v>
      </c>
      <c r="Q8" s="19">
        <v>277.17</v>
      </c>
      <c r="R8" s="19">
        <f t="shared" si="5"/>
        <v>660.74</v>
      </c>
      <c r="S8" s="19">
        <v>188.49</v>
      </c>
      <c r="T8" s="19">
        <v>249.47</v>
      </c>
      <c r="U8" s="19">
        <v>298.38</v>
      </c>
      <c r="V8" s="19">
        <f t="shared" si="6"/>
        <v>736.34</v>
      </c>
      <c r="W8" s="19">
        <v>169.51</v>
      </c>
      <c r="X8" s="19">
        <v>223.78</v>
      </c>
      <c r="Y8" s="19">
        <v>274.74</v>
      </c>
      <c r="Z8" s="19">
        <f t="shared" si="7"/>
        <v>668.03</v>
      </c>
    </row>
    <row r="9" spans="1:51" x14ac:dyDescent="0.3">
      <c r="A9" s="6">
        <v>3</v>
      </c>
      <c r="B9" s="2" t="s">
        <v>7</v>
      </c>
      <c r="C9" s="18">
        <f t="shared" si="0"/>
        <v>3471</v>
      </c>
      <c r="D9" s="18">
        <f t="shared" si="1"/>
        <v>4733.6899999999996</v>
      </c>
      <c r="E9" s="18">
        <f t="shared" si="2"/>
        <v>4865.1499999999996</v>
      </c>
      <c r="F9" s="18">
        <f t="shared" si="8"/>
        <v>13069.84</v>
      </c>
      <c r="G9" s="19">
        <v>868.98</v>
      </c>
      <c r="H9" s="19">
        <v>1179.24</v>
      </c>
      <c r="I9" s="19">
        <v>1196.3</v>
      </c>
      <c r="J9" s="19">
        <f t="shared" si="3"/>
        <v>3244.5200000000004</v>
      </c>
      <c r="K9" s="19">
        <v>612.45000000000005</v>
      </c>
      <c r="L9" s="19">
        <v>849.9</v>
      </c>
      <c r="M9" s="19">
        <v>789.9</v>
      </c>
      <c r="N9" s="19">
        <f t="shared" si="4"/>
        <v>2252.25</v>
      </c>
      <c r="O9" s="19">
        <v>645.36</v>
      </c>
      <c r="P9" s="19">
        <v>865.02</v>
      </c>
      <c r="Q9" s="19">
        <v>980.87</v>
      </c>
      <c r="R9" s="19">
        <f t="shared" si="5"/>
        <v>2491.25</v>
      </c>
      <c r="S9" s="19">
        <v>700.87</v>
      </c>
      <c r="T9" s="19">
        <v>948.29</v>
      </c>
      <c r="U9" s="19">
        <v>1005.19</v>
      </c>
      <c r="V9" s="19">
        <f t="shared" si="6"/>
        <v>2654.35</v>
      </c>
      <c r="W9" s="19">
        <v>643.34</v>
      </c>
      <c r="X9" s="19">
        <v>891.24</v>
      </c>
      <c r="Y9" s="19">
        <v>892.89</v>
      </c>
      <c r="Z9" s="19">
        <f t="shared" si="7"/>
        <v>2427.4699999999998</v>
      </c>
    </row>
    <row r="10" spans="1:51" x14ac:dyDescent="0.3">
      <c r="A10" s="6">
        <v>4</v>
      </c>
      <c r="B10" s="2" t="s">
        <v>8</v>
      </c>
      <c r="C10" s="18">
        <f t="shared" si="0"/>
        <v>274.74999999999994</v>
      </c>
      <c r="D10" s="18">
        <f t="shared" si="1"/>
        <v>347.76</v>
      </c>
      <c r="E10" s="18">
        <f t="shared" si="2"/>
        <v>760.57</v>
      </c>
      <c r="F10" s="18">
        <f t="shared" si="8"/>
        <v>1383.08</v>
      </c>
      <c r="G10" s="19">
        <v>65.819999999999993</v>
      </c>
      <c r="H10" s="19">
        <v>80.489999999999995</v>
      </c>
      <c r="I10" s="19">
        <v>159.77000000000001</v>
      </c>
      <c r="J10" s="19">
        <f t="shared" si="3"/>
        <v>306.08000000000004</v>
      </c>
      <c r="K10" s="19">
        <v>48.08</v>
      </c>
      <c r="L10" s="19">
        <v>59.24</v>
      </c>
      <c r="M10" s="19">
        <v>265.42</v>
      </c>
      <c r="N10" s="19">
        <f t="shared" si="4"/>
        <v>372.74</v>
      </c>
      <c r="O10" s="19">
        <v>51.44</v>
      </c>
      <c r="P10" s="19">
        <v>63.99</v>
      </c>
      <c r="Q10" s="19">
        <v>113.49</v>
      </c>
      <c r="R10" s="19">
        <f t="shared" si="5"/>
        <v>228.92000000000002</v>
      </c>
      <c r="S10" s="19">
        <v>54.29</v>
      </c>
      <c r="T10" s="19">
        <v>73.11</v>
      </c>
      <c r="U10" s="19">
        <v>117.91</v>
      </c>
      <c r="V10" s="19">
        <f t="shared" si="6"/>
        <v>245.31</v>
      </c>
      <c r="W10" s="19">
        <v>55.12</v>
      </c>
      <c r="X10" s="19">
        <v>70.930000000000007</v>
      </c>
      <c r="Y10" s="19">
        <v>103.98</v>
      </c>
      <c r="Z10" s="19">
        <f t="shared" si="7"/>
        <v>230.03000000000003</v>
      </c>
    </row>
    <row r="11" spans="1:51" x14ac:dyDescent="0.3">
      <c r="A11" s="6">
        <v>5</v>
      </c>
      <c r="B11" s="2" t="s">
        <v>9</v>
      </c>
      <c r="C11" s="18">
        <f t="shared" si="0"/>
        <v>1695.97</v>
      </c>
      <c r="D11" s="18">
        <f t="shared" si="1"/>
        <v>2355.7900000000004</v>
      </c>
      <c r="E11" s="18">
        <f t="shared" si="2"/>
        <v>3347.8500000000004</v>
      </c>
      <c r="F11" s="18">
        <f t="shared" si="8"/>
        <v>7399.6099999999988</v>
      </c>
      <c r="G11" s="19">
        <v>451.14</v>
      </c>
      <c r="H11" s="19">
        <v>640.47</v>
      </c>
      <c r="I11" s="19">
        <v>924.37</v>
      </c>
      <c r="J11" s="19">
        <f t="shared" si="3"/>
        <v>2015.98</v>
      </c>
      <c r="K11" s="19">
        <v>301.01</v>
      </c>
      <c r="L11" s="19">
        <v>407.1</v>
      </c>
      <c r="M11" s="19">
        <v>590.04999999999995</v>
      </c>
      <c r="N11" s="19">
        <f t="shared" si="4"/>
        <v>1298.1599999999999</v>
      </c>
      <c r="O11" s="19">
        <v>315.66000000000003</v>
      </c>
      <c r="P11" s="19">
        <v>433.71</v>
      </c>
      <c r="Q11" s="19">
        <v>584.79</v>
      </c>
      <c r="R11" s="19">
        <f t="shared" si="5"/>
        <v>1334.1599999999999</v>
      </c>
      <c r="S11" s="19">
        <v>354.65</v>
      </c>
      <c r="T11" s="19">
        <v>483.96</v>
      </c>
      <c r="U11" s="19">
        <v>609.86</v>
      </c>
      <c r="V11" s="19">
        <f t="shared" si="6"/>
        <v>1448.4699999999998</v>
      </c>
      <c r="W11" s="19">
        <v>273.51</v>
      </c>
      <c r="X11" s="19">
        <v>390.55</v>
      </c>
      <c r="Y11" s="19">
        <v>638.78</v>
      </c>
      <c r="Z11" s="19">
        <f t="shared" si="7"/>
        <v>1302.8399999999999</v>
      </c>
    </row>
    <row r="12" spans="1:51" x14ac:dyDescent="0.3">
      <c r="A12" s="6">
        <v>6</v>
      </c>
      <c r="B12" s="2" t="s">
        <v>10</v>
      </c>
      <c r="C12" s="18">
        <f t="shared" si="0"/>
        <v>9027.44</v>
      </c>
      <c r="D12" s="18">
        <f t="shared" si="1"/>
        <v>11218.16</v>
      </c>
      <c r="E12" s="18">
        <f t="shared" si="2"/>
        <v>36261.509999999995</v>
      </c>
      <c r="F12" s="18">
        <f t="shared" si="8"/>
        <v>56507.11</v>
      </c>
      <c r="G12" s="19">
        <v>2167.1</v>
      </c>
      <c r="H12" s="19">
        <v>2646.97</v>
      </c>
      <c r="I12" s="19">
        <v>9334.5499999999993</v>
      </c>
      <c r="J12" s="19">
        <f t="shared" si="3"/>
        <v>14148.619999999999</v>
      </c>
      <c r="K12" s="19">
        <v>1723.7</v>
      </c>
      <c r="L12" s="19">
        <v>2106.8200000000002</v>
      </c>
      <c r="M12" s="19">
        <v>6386.21</v>
      </c>
      <c r="N12" s="19">
        <f t="shared" si="4"/>
        <v>10216.73</v>
      </c>
      <c r="O12" s="19">
        <v>1701.91</v>
      </c>
      <c r="P12" s="19">
        <v>2147.85</v>
      </c>
      <c r="Q12" s="19">
        <v>6215.67</v>
      </c>
      <c r="R12" s="19">
        <f t="shared" si="5"/>
        <v>10065.43</v>
      </c>
      <c r="S12" s="19">
        <v>1786.5</v>
      </c>
      <c r="T12" s="19">
        <v>2224.54</v>
      </c>
      <c r="U12" s="19">
        <v>7881.1</v>
      </c>
      <c r="V12" s="19">
        <f t="shared" si="6"/>
        <v>11892.14</v>
      </c>
      <c r="W12" s="19">
        <v>1648.23</v>
      </c>
      <c r="X12" s="19">
        <v>2091.98</v>
      </c>
      <c r="Y12" s="19">
        <v>6443.98</v>
      </c>
      <c r="Z12" s="19">
        <f t="shared" si="7"/>
        <v>10184.189999999999</v>
      </c>
    </row>
    <row r="13" spans="1:51" x14ac:dyDescent="0.3">
      <c r="A13" s="6">
        <v>7</v>
      </c>
      <c r="B13" s="2" t="s">
        <v>11</v>
      </c>
      <c r="C13" s="18">
        <f t="shared" si="0"/>
        <v>7140.6999999999989</v>
      </c>
      <c r="D13" s="18">
        <f t="shared" si="1"/>
        <v>8179.08</v>
      </c>
      <c r="E13" s="18">
        <f t="shared" si="2"/>
        <v>20740.059999999998</v>
      </c>
      <c r="F13" s="18">
        <f t="shared" si="8"/>
        <v>36059.839999999997</v>
      </c>
      <c r="G13" s="19">
        <v>1821.58</v>
      </c>
      <c r="H13" s="19">
        <v>2166.4499999999998</v>
      </c>
      <c r="I13" s="19">
        <v>4883.38</v>
      </c>
      <c r="J13" s="19">
        <f t="shared" si="3"/>
        <v>8871.41</v>
      </c>
      <c r="K13" s="19">
        <v>1474.66</v>
      </c>
      <c r="L13" s="19">
        <v>1633.54</v>
      </c>
      <c r="M13" s="19">
        <v>5417.11</v>
      </c>
      <c r="N13" s="19">
        <f t="shared" si="4"/>
        <v>8525.31</v>
      </c>
      <c r="O13" s="19">
        <v>1261.53</v>
      </c>
      <c r="P13" s="19">
        <v>1418.63</v>
      </c>
      <c r="Q13" s="19">
        <v>3306.41</v>
      </c>
      <c r="R13" s="19">
        <f t="shared" si="5"/>
        <v>5986.57</v>
      </c>
      <c r="S13" s="19">
        <v>1307.8699999999999</v>
      </c>
      <c r="T13" s="19">
        <v>1501.38</v>
      </c>
      <c r="U13" s="19">
        <v>3651.06</v>
      </c>
      <c r="V13" s="19">
        <f t="shared" si="6"/>
        <v>6460.3099999999995</v>
      </c>
      <c r="W13" s="19">
        <v>1275.06</v>
      </c>
      <c r="X13" s="19">
        <v>1459.08</v>
      </c>
      <c r="Y13" s="19">
        <v>3482.1</v>
      </c>
      <c r="Z13" s="19">
        <f t="shared" si="7"/>
        <v>6216.24</v>
      </c>
    </row>
    <row r="14" spans="1:51" x14ac:dyDescent="0.3">
      <c r="A14" s="6">
        <v>8</v>
      </c>
      <c r="B14" s="2" t="s">
        <v>12</v>
      </c>
      <c r="C14" s="18">
        <f t="shared" si="0"/>
        <v>6768.5599999999995</v>
      </c>
      <c r="D14" s="18">
        <f t="shared" si="1"/>
        <v>8442.7999999999993</v>
      </c>
      <c r="E14" s="18">
        <f t="shared" si="2"/>
        <v>7238.71</v>
      </c>
      <c r="F14" s="18">
        <f t="shared" si="8"/>
        <v>22450.07</v>
      </c>
      <c r="G14" s="19">
        <v>1773.06</v>
      </c>
      <c r="H14" s="19">
        <v>2138.54</v>
      </c>
      <c r="I14" s="19">
        <v>1556.87</v>
      </c>
      <c r="J14" s="19">
        <f t="shared" si="3"/>
        <v>5468.4699999999993</v>
      </c>
      <c r="K14" s="19">
        <v>1228.5899999999999</v>
      </c>
      <c r="L14" s="19">
        <v>1547.37</v>
      </c>
      <c r="M14" s="19">
        <v>1415.58</v>
      </c>
      <c r="N14" s="19">
        <f t="shared" si="4"/>
        <v>4191.54</v>
      </c>
      <c r="O14" s="19">
        <v>1182.83</v>
      </c>
      <c r="P14" s="19">
        <v>1523.2</v>
      </c>
      <c r="Q14" s="19">
        <v>1467.07</v>
      </c>
      <c r="R14" s="19">
        <f t="shared" si="5"/>
        <v>4173.0999999999995</v>
      </c>
      <c r="S14" s="19">
        <v>1352.03</v>
      </c>
      <c r="T14" s="19">
        <v>1698.74</v>
      </c>
      <c r="U14" s="19">
        <v>1418.4</v>
      </c>
      <c r="V14" s="19">
        <f t="shared" si="6"/>
        <v>4469.17</v>
      </c>
      <c r="W14" s="19">
        <v>1232.05</v>
      </c>
      <c r="X14" s="19">
        <v>1534.95</v>
      </c>
      <c r="Y14" s="19">
        <v>1380.79</v>
      </c>
      <c r="Z14" s="19">
        <f t="shared" si="7"/>
        <v>4147.79</v>
      </c>
    </row>
    <row r="15" spans="1:51" x14ac:dyDescent="0.3">
      <c r="A15" s="6">
        <v>9</v>
      </c>
      <c r="B15" s="2" t="s">
        <v>13</v>
      </c>
      <c r="C15" s="18">
        <f t="shared" si="0"/>
        <v>13894.109999999997</v>
      </c>
      <c r="D15" s="18">
        <f t="shared" si="1"/>
        <v>17230.84</v>
      </c>
      <c r="E15" s="18">
        <f t="shared" si="2"/>
        <v>18368.510000000002</v>
      </c>
      <c r="F15" s="18">
        <f t="shared" si="8"/>
        <v>49493.46</v>
      </c>
      <c r="G15" s="19">
        <v>3616.04</v>
      </c>
      <c r="H15" s="19">
        <v>4398.96</v>
      </c>
      <c r="I15" s="19">
        <v>4842.8999999999996</v>
      </c>
      <c r="J15" s="19">
        <f t="shared" si="3"/>
        <v>12857.9</v>
      </c>
      <c r="K15" s="19">
        <v>2426.69</v>
      </c>
      <c r="L15" s="19">
        <v>3070.17</v>
      </c>
      <c r="M15" s="19">
        <v>3230.84</v>
      </c>
      <c r="N15" s="19">
        <f t="shared" si="4"/>
        <v>8727.7000000000007</v>
      </c>
      <c r="O15" s="19">
        <v>2595.5500000000002</v>
      </c>
      <c r="P15" s="19">
        <v>3249.25</v>
      </c>
      <c r="Q15" s="19">
        <v>3319.87</v>
      </c>
      <c r="R15" s="19">
        <f t="shared" si="5"/>
        <v>9164.67</v>
      </c>
      <c r="S15" s="19">
        <v>2710.62</v>
      </c>
      <c r="T15" s="19">
        <v>3399.96</v>
      </c>
      <c r="U15" s="19">
        <v>3540.35</v>
      </c>
      <c r="V15" s="19">
        <f t="shared" si="6"/>
        <v>9650.93</v>
      </c>
      <c r="W15" s="19">
        <v>2545.21</v>
      </c>
      <c r="X15" s="19">
        <v>3112.5</v>
      </c>
      <c r="Y15" s="19">
        <v>3434.55</v>
      </c>
      <c r="Z15" s="19">
        <f t="shared" si="7"/>
        <v>9092.26</v>
      </c>
    </row>
    <row r="16" spans="1:51" x14ac:dyDescent="0.3">
      <c r="A16" s="7">
        <v>10</v>
      </c>
      <c r="B16" s="2" t="s">
        <v>14</v>
      </c>
      <c r="C16" s="18">
        <f t="shared" si="0"/>
        <v>2280.0700000000002</v>
      </c>
      <c r="D16" s="18">
        <f t="shared" si="1"/>
        <v>4357.21</v>
      </c>
      <c r="E16" s="18">
        <f t="shared" si="2"/>
        <v>1784.5300000000002</v>
      </c>
      <c r="F16" s="18">
        <f t="shared" si="8"/>
        <v>8421.8100000000013</v>
      </c>
      <c r="G16" s="19">
        <v>551.53</v>
      </c>
      <c r="H16" s="19">
        <v>858.56</v>
      </c>
      <c r="I16" s="19">
        <v>362.56</v>
      </c>
      <c r="J16" s="19">
        <f t="shared" si="3"/>
        <v>1772.6499999999999</v>
      </c>
      <c r="K16" s="19">
        <v>458.89</v>
      </c>
      <c r="L16" s="19">
        <v>803.07</v>
      </c>
      <c r="M16" s="19">
        <v>325.63</v>
      </c>
      <c r="N16" s="19">
        <f t="shared" si="4"/>
        <v>1587.5900000000001</v>
      </c>
      <c r="O16" s="19">
        <v>413.67</v>
      </c>
      <c r="P16" s="19">
        <v>835.35</v>
      </c>
      <c r="Q16" s="19">
        <v>350.82</v>
      </c>
      <c r="R16" s="19">
        <f t="shared" si="5"/>
        <v>1599.84</v>
      </c>
      <c r="S16" s="19">
        <v>449.68</v>
      </c>
      <c r="T16" s="19">
        <v>953.73</v>
      </c>
      <c r="U16" s="19">
        <v>372.37</v>
      </c>
      <c r="V16" s="19">
        <f t="shared" si="6"/>
        <v>1775.7800000000002</v>
      </c>
      <c r="W16" s="19">
        <v>406.3</v>
      </c>
      <c r="X16" s="19">
        <v>906.5</v>
      </c>
      <c r="Y16" s="19">
        <v>373.15</v>
      </c>
      <c r="Z16" s="19">
        <f t="shared" si="7"/>
        <v>1685.9499999999998</v>
      </c>
    </row>
    <row r="17" spans="1:55" x14ac:dyDescent="0.3">
      <c r="A17" s="7">
        <v>11</v>
      </c>
      <c r="B17" s="2" t="s">
        <v>15</v>
      </c>
      <c r="C17" s="18">
        <f t="shared" si="0"/>
        <v>188.06</v>
      </c>
      <c r="D17" s="18">
        <f t="shared" si="1"/>
        <v>242.97999999999996</v>
      </c>
      <c r="E17" s="18">
        <f t="shared" si="2"/>
        <v>533.80999999999995</v>
      </c>
      <c r="F17" s="18">
        <f t="shared" si="8"/>
        <v>964.84999999999991</v>
      </c>
      <c r="G17" s="19">
        <v>69.430000000000007</v>
      </c>
      <c r="H17" s="19">
        <v>100.64</v>
      </c>
      <c r="I17" s="19">
        <v>91.37</v>
      </c>
      <c r="J17" s="19">
        <f t="shared" si="3"/>
        <v>261.44</v>
      </c>
      <c r="K17" s="19">
        <v>36.6</v>
      </c>
      <c r="L17" s="19">
        <v>43.44</v>
      </c>
      <c r="M17" s="19">
        <v>120.04</v>
      </c>
      <c r="N17" s="19">
        <f t="shared" si="4"/>
        <v>200.07999999999998</v>
      </c>
      <c r="O17" s="19">
        <v>27.72</v>
      </c>
      <c r="P17" s="19">
        <v>33.6</v>
      </c>
      <c r="Q17" s="19">
        <v>108.44</v>
      </c>
      <c r="R17" s="19">
        <f t="shared" si="5"/>
        <v>169.76</v>
      </c>
      <c r="S17" s="19">
        <v>28.69</v>
      </c>
      <c r="T17" s="19">
        <v>35.159999999999997</v>
      </c>
      <c r="U17" s="19">
        <v>100.15</v>
      </c>
      <c r="V17" s="19">
        <f t="shared" si="6"/>
        <v>164</v>
      </c>
      <c r="W17" s="19">
        <v>25.62</v>
      </c>
      <c r="X17" s="19">
        <v>30.14</v>
      </c>
      <c r="Y17" s="19">
        <v>113.81</v>
      </c>
      <c r="Z17" s="19">
        <f t="shared" si="7"/>
        <v>169.57</v>
      </c>
    </row>
    <row r="18" spans="1:55" x14ac:dyDescent="0.3">
      <c r="A18" s="7">
        <v>12</v>
      </c>
      <c r="B18" s="2" t="s">
        <v>16</v>
      </c>
      <c r="C18" s="18">
        <f t="shared" si="0"/>
        <v>322.56000000000006</v>
      </c>
      <c r="D18" s="18">
        <f t="shared" si="1"/>
        <v>394.38000000000005</v>
      </c>
      <c r="E18" s="18">
        <f t="shared" si="2"/>
        <v>79.56</v>
      </c>
      <c r="F18" s="18">
        <f t="shared" si="8"/>
        <v>796.5</v>
      </c>
      <c r="G18" s="19">
        <v>161.21</v>
      </c>
      <c r="H18" s="19">
        <v>187.28</v>
      </c>
      <c r="I18" s="19">
        <v>23.84</v>
      </c>
      <c r="J18" s="19">
        <f t="shared" si="3"/>
        <v>372.33</v>
      </c>
      <c r="K18" s="19">
        <v>53.06</v>
      </c>
      <c r="L18" s="19">
        <v>71.819999999999993</v>
      </c>
      <c r="M18" s="19">
        <v>17.23</v>
      </c>
      <c r="N18" s="19">
        <f t="shared" si="4"/>
        <v>142.10999999999999</v>
      </c>
      <c r="O18" s="19">
        <v>36.380000000000003</v>
      </c>
      <c r="P18" s="19">
        <v>45.36</v>
      </c>
      <c r="Q18" s="19">
        <v>10.68</v>
      </c>
      <c r="R18" s="19">
        <f t="shared" si="5"/>
        <v>92.420000000000016</v>
      </c>
      <c r="S18" s="19">
        <v>34.82</v>
      </c>
      <c r="T18" s="19">
        <v>44.67</v>
      </c>
      <c r="U18" s="19">
        <v>12.2</v>
      </c>
      <c r="V18" s="19">
        <f t="shared" si="6"/>
        <v>91.690000000000012</v>
      </c>
      <c r="W18" s="19">
        <v>37.090000000000003</v>
      </c>
      <c r="X18" s="19">
        <v>45.25</v>
      </c>
      <c r="Y18" s="19">
        <v>15.61</v>
      </c>
      <c r="Z18" s="19">
        <f t="shared" si="7"/>
        <v>97.95</v>
      </c>
    </row>
    <row r="19" spans="1:55" x14ac:dyDescent="0.3">
      <c r="A19" s="7">
        <v>13</v>
      </c>
      <c r="B19" s="2" t="s">
        <v>17</v>
      </c>
      <c r="C19" s="18">
        <f t="shared" si="0"/>
        <v>152.43</v>
      </c>
      <c r="D19" s="18">
        <f t="shared" si="1"/>
        <v>188.22999999999996</v>
      </c>
      <c r="E19" s="18">
        <f t="shared" si="2"/>
        <v>88.57</v>
      </c>
      <c r="F19" s="18">
        <f t="shared" si="8"/>
        <v>429.23</v>
      </c>
      <c r="G19" s="19">
        <v>51.21</v>
      </c>
      <c r="H19" s="19">
        <v>58.51</v>
      </c>
      <c r="I19" s="19">
        <v>24.69</v>
      </c>
      <c r="J19" s="19">
        <f t="shared" si="3"/>
        <v>134.41</v>
      </c>
      <c r="K19" s="19">
        <v>23.25</v>
      </c>
      <c r="L19" s="19">
        <v>26.47</v>
      </c>
      <c r="M19" s="19">
        <v>14.04</v>
      </c>
      <c r="N19" s="19">
        <f t="shared" si="4"/>
        <v>63.76</v>
      </c>
      <c r="O19" s="19">
        <v>31.47</v>
      </c>
      <c r="P19" s="19">
        <v>40.85</v>
      </c>
      <c r="Q19" s="19">
        <v>15.83</v>
      </c>
      <c r="R19" s="19">
        <f t="shared" si="5"/>
        <v>88.149999999999991</v>
      </c>
      <c r="S19" s="19">
        <v>24.21</v>
      </c>
      <c r="T19" s="19">
        <v>33.79</v>
      </c>
      <c r="U19" s="19">
        <v>17.86</v>
      </c>
      <c r="V19" s="19">
        <f t="shared" si="6"/>
        <v>75.86</v>
      </c>
      <c r="W19" s="19">
        <v>22.29</v>
      </c>
      <c r="X19" s="19">
        <v>28.61</v>
      </c>
      <c r="Y19" s="19">
        <v>16.149999999999999</v>
      </c>
      <c r="Z19" s="19">
        <f t="shared" si="7"/>
        <v>67.05</v>
      </c>
    </row>
    <row r="20" spans="1:55" x14ac:dyDescent="0.3">
      <c r="A20" s="7">
        <v>14</v>
      </c>
      <c r="B20" s="2" t="s">
        <v>18</v>
      </c>
      <c r="C20" s="18">
        <f t="shared" si="0"/>
        <v>124.73999999999998</v>
      </c>
      <c r="D20" s="18">
        <f t="shared" si="1"/>
        <v>155.16</v>
      </c>
      <c r="E20" s="18">
        <f t="shared" si="2"/>
        <v>50.080000000000005</v>
      </c>
      <c r="F20" s="18">
        <f t="shared" si="8"/>
        <v>329.98</v>
      </c>
      <c r="G20" s="19">
        <v>43.01</v>
      </c>
      <c r="H20" s="19">
        <v>52.49</v>
      </c>
      <c r="I20" s="19">
        <v>11.51</v>
      </c>
      <c r="J20" s="19">
        <f t="shared" si="3"/>
        <v>107.01</v>
      </c>
      <c r="K20" s="19">
        <v>27.47</v>
      </c>
      <c r="L20" s="19">
        <v>31.84</v>
      </c>
      <c r="M20" s="19">
        <v>9.08</v>
      </c>
      <c r="N20" s="19">
        <f t="shared" si="4"/>
        <v>68.39</v>
      </c>
      <c r="O20" s="19">
        <v>22.54</v>
      </c>
      <c r="P20" s="19">
        <v>30.47</v>
      </c>
      <c r="Q20" s="19">
        <v>11.33</v>
      </c>
      <c r="R20" s="19">
        <f t="shared" si="5"/>
        <v>64.34</v>
      </c>
      <c r="S20" s="19">
        <v>15.73</v>
      </c>
      <c r="T20" s="19">
        <v>18.489999999999998</v>
      </c>
      <c r="U20" s="19">
        <v>10.34</v>
      </c>
      <c r="V20" s="19">
        <f t="shared" si="6"/>
        <v>44.56</v>
      </c>
      <c r="W20" s="19">
        <v>15.99</v>
      </c>
      <c r="X20" s="19">
        <v>21.87</v>
      </c>
      <c r="Y20" s="19">
        <v>7.82</v>
      </c>
      <c r="Z20" s="19">
        <f t="shared" si="7"/>
        <v>45.68</v>
      </c>
    </row>
    <row r="21" spans="1:55" x14ac:dyDescent="0.3">
      <c r="A21" s="7">
        <v>15</v>
      </c>
      <c r="B21" s="2" t="s">
        <v>19</v>
      </c>
      <c r="C21" s="18">
        <f t="shared" si="0"/>
        <v>68.240000000000009</v>
      </c>
      <c r="D21" s="18">
        <f t="shared" si="1"/>
        <v>97.76</v>
      </c>
      <c r="E21" s="18">
        <f t="shared" si="2"/>
        <v>31.810000000000002</v>
      </c>
      <c r="F21" s="18">
        <f t="shared" si="8"/>
        <v>197.81</v>
      </c>
      <c r="G21" s="19">
        <v>25.57</v>
      </c>
      <c r="H21" s="19">
        <v>37.01</v>
      </c>
      <c r="I21" s="19">
        <v>7.37</v>
      </c>
      <c r="J21" s="19">
        <f t="shared" si="3"/>
        <v>69.95</v>
      </c>
      <c r="K21" s="19">
        <v>10.06</v>
      </c>
      <c r="L21" s="19">
        <v>16.239999999999998</v>
      </c>
      <c r="M21" s="19">
        <v>7.97</v>
      </c>
      <c r="N21" s="19">
        <f t="shared" si="4"/>
        <v>34.269999999999996</v>
      </c>
      <c r="O21" s="19">
        <v>11.71</v>
      </c>
      <c r="P21" s="19">
        <v>15.31</v>
      </c>
      <c r="Q21" s="19">
        <v>5.09</v>
      </c>
      <c r="R21" s="19">
        <f t="shared" si="5"/>
        <v>32.11</v>
      </c>
      <c r="S21" s="19">
        <v>9.7200000000000006</v>
      </c>
      <c r="T21" s="19">
        <v>12.98</v>
      </c>
      <c r="U21" s="19">
        <v>5.73</v>
      </c>
      <c r="V21" s="19">
        <f t="shared" si="6"/>
        <v>28.430000000000003</v>
      </c>
      <c r="W21" s="19">
        <v>11.18</v>
      </c>
      <c r="X21" s="19">
        <v>16.22</v>
      </c>
      <c r="Y21" s="19">
        <v>5.65</v>
      </c>
      <c r="Z21" s="19">
        <f t="shared" si="7"/>
        <v>33.049999999999997</v>
      </c>
    </row>
    <row r="22" spans="1:55" x14ac:dyDescent="0.3">
      <c r="A22" s="7">
        <v>16</v>
      </c>
      <c r="B22" s="2" t="s">
        <v>20</v>
      </c>
      <c r="C22" s="18">
        <f t="shared" si="0"/>
        <v>209.60000000000002</v>
      </c>
      <c r="D22" s="18">
        <f t="shared" si="1"/>
        <v>265.90000000000003</v>
      </c>
      <c r="E22" s="18">
        <f t="shared" si="2"/>
        <v>74.790000000000006</v>
      </c>
      <c r="F22" s="18">
        <f t="shared" si="8"/>
        <v>550.29</v>
      </c>
      <c r="G22" s="19">
        <v>61.06</v>
      </c>
      <c r="H22" s="19">
        <v>80.38</v>
      </c>
      <c r="I22" s="19">
        <v>18.04</v>
      </c>
      <c r="J22" s="19">
        <f t="shared" si="3"/>
        <v>159.47999999999999</v>
      </c>
      <c r="K22" s="19">
        <v>37.46</v>
      </c>
      <c r="L22" s="19">
        <v>46.34</v>
      </c>
      <c r="M22" s="19">
        <v>14.8</v>
      </c>
      <c r="N22" s="19">
        <f t="shared" si="4"/>
        <v>98.600000000000009</v>
      </c>
      <c r="O22" s="19">
        <v>35.19</v>
      </c>
      <c r="P22" s="19">
        <v>43.95</v>
      </c>
      <c r="Q22" s="19">
        <v>12.87</v>
      </c>
      <c r="R22" s="19">
        <f t="shared" si="5"/>
        <v>92.01</v>
      </c>
      <c r="S22" s="19">
        <v>42.22</v>
      </c>
      <c r="T22" s="19">
        <v>52.61</v>
      </c>
      <c r="U22" s="19">
        <v>15.78</v>
      </c>
      <c r="V22" s="19">
        <f t="shared" si="6"/>
        <v>110.61</v>
      </c>
      <c r="W22" s="19">
        <v>33.67</v>
      </c>
      <c r="X22" s="19">
        <v>42.62</v>
      </c>
      <c r="Y22" s="19">
        <v>13.3</v>
      </c>
      <c r="Z22" s="19">
        <f t="shared" si="7"/>
        <v>89.589999999999989</v>
      </c>
    </row>
    <row r="23" spans="1:55" x14ac:dyDescent="0.3">
      <c r="A23" s="7">
        <v>17</v>
      </c>
      <c r="B23" s="2" t="s">
        <v>21</v>
      </c>
      <c r="C23" s="18">
        <f t="shared" si="0"/>
        <v>290.77000000000004</v>
      </c>
      <c r="D23" s="18">
        <f t="shared" si="1"/>
        <v>357.53999999999996</v>
      </c>
      <c r="E23" s="18">
        <f t="shared" si="2"/>
        <v>295.51</v>
      </c>
      <c r="F23" s="18">
        <f t="shared" si="8"/>
        <v>943.81999999999994</v>
      </c>
      <c r="G23" s="19">
        <v>88.2</v>
      </c>
      <c r="H23" s="19">
        <v>100.77</v>
      </c>
      <c r="I23" s="19">
        <v>67.430000000000007</v>
      </c>
      <c r="J23" s="19">
        <f t="shared" si="3"/>
        <v>256.39999999999998</v>
      </c>
      <c r="K23" s="19">
        <v>53.42</v>
      </c>
      <c r="L23" s="19">
        <v>70.17</v>
      </c>
      <c r="M23" s="19">
        <v>58.6</v>
      </c>
      <c r="N23" s="19">
        <f t="shared" si="4"/>
        <v>182.19</v>
      </c>
      <c r="O23" s="19">
        <v>45.96</v>
      </c>
      <c r="P23" s="19">
        <v>54.45</v>
      </c>
      <c r="Q23" s="19">
        <v>62.76</v>
      </c>
      <c r="R23" s="19">
        <f t="shared" si="5"/>
        <v>163.16999999999999</v>
      </c>
      <c r="S23" s="19">
        <v>51.59</v>
      </c>
      <c r="T23" s="19">
        <v>67.81</v>
      </c>
      <c r="U23" s="19">
        <v>59.91</v>
      </c>
      <c r="V23" s="19">
        <f t="shared" si="6"/>
        <v>179.31</v>
      </c>
      <c r="W23" s="19">
        <v>51.6</v>
      </c>
      <c r="X23" s="19">
        <v>64.34</v>
      </c>
      <c r="Y23" s="19">
        <v>46.81</v>
      </c>
      <c r="Z23" s="19">
        <f t="shared" si="7"/>
        <v>162.75</v>
      </c>
    </row>
    <row r="24" spans="1:55" x14ac:dyDescent="0.3">
      <c r="A24" s="7">
        <v>18</v>
      </c>
      <c r="B24" s="2" t="s">
        <v>22</v>
      </c>
      <c r="C24" s="18">
        <f t="shared" si="0"/>
        <v>3534.98</v>
      </c>
      <c r="D24" s="18">
        <f t="shared" si="1"/>
        <v>4231.21</v>
      </c>
      <c r="E24" s="18">
        <f t="shared" si="2"/>
        <v>1869.44</v>
      </c>
      <c r="F24" s="18">
        <f t="shared" si="8"/>
        <v>9635.630000000001</v>
      </c>
      <c r="G24" s="19">
        <v>595.61</v>
      </c>
      <c r="H24" s="19">
        <v>774.13</v>
      </c>
      <c r="I24" s="19">
        <v>413.16</v>
      </c>
      <c r="J24" s="19">
        <f t="shared" si="3"/>
        <v>1782.9</v>
      </c>
      <c r="K24" s="19">
        <v>416.87</v>
      </c>
      <c r="L24" s="19">
        <v>548.25</v>
      </c>
      <c r="M24" s="19">
        <v>340.13</v>
      </c>
      <c r="N24" s="19">
        <f t="shared" si="4"/>
        <v>1305.25</v>
      </c>
      <c r="O24" s="19">
        <v>496.43</v>
      </c>
      <c r="P24" s="19">
        <v>614.39</v>
      </c>
      <c r="Q24" s="19">
        <v>381.13</v>
      </c>
      <c r="R24" s="19">
        <f t="shared" si="5"/>
        <v>1491.9499999999998</v>
      </c>
      <c r="S24" s="19">
        <v>445.34</v>
      </c>
      <c r="T24" s="19">
        <v>583.32000000000005</v>
      </c>
      <c r="U24" s="19">
        <v>348.1</v>
      </c>
      <c r="V24" s="19">
        <f t="shared" si="6"/>
        <v>1376.7600000000002</v>
      </c>
      <c r="W24" s="19">
        <v>1580.73</v>
      </c>
      <c r="X24" s="19">
        <v>1711.12</v>
      </c>
      <c r="Y24" s="19">
        <v>386.92</v>
      </c>
      <c r="Z24" s="19">
        <f t="shared" si="7"/>
        <v>3678.77</v>
      </c>
    </row>
    <row r="25" spans="1:55" x14ac:dyDescent="0.3">
      <c r="A25" s="7">
        <v>19</v>
      </c>
      <c r="B25" s="2" t="s">
        <v>23</v>
      </c>
      <c r="C25" s="18">
        <f t="shared" si="0"/>
        <v>9114.2000000000007</v>
      </c>
      <c r="D25" s="18">
        <f t="shared" si="1"/>
        <v>10635.97</v>
      </c>
      <c r="E25" s="18">
        <f t="shared" si="2"/>
        <v>8526.7800000000007</v>
      </c>
      <c r="F25" s="18">
        <f t="shared" si="8"/>
        <v>28276.95</v>
      </c>
      <c r="G25" s="19">
        <v>2327.64</v>
      </c>
      <c r="H25" s="19">
        <v>2745.33</v>
      </c>
      <c r="I25" s="19">
        <v>2178.8200000000002</v>
      </c>
      <c r="J25" s="19">
        <f t="shared" si="3"/>
        <v>7251.7899999999991</v>
      </c>
      <c r="K25" s="19">
        <v>1694.07</v>
      </c>
      <c r="L25" s="19">
        <v>2012.29</v>
      </c>
      <c r="M25" s="19">
        <v>1620.54</v>
      </c>
      <c r="N25" s="19">
        <f t="shared" si="4"/>
        <v>5326.9</v>
      </c>
      <c r="O25" s="19">
        <v>1627.05</v>
      </c>
      <c r="P25" s="19">
        <v>1908.49</v>
      </c>
      <c r="Q25" s="19">
        <v>1546.09</v>
      </c>
      <c r="R25" s="19">
        <f t="shared" si="5"/>
        <v>5081.63</v>
      </c>
      <c r="S25" s="19">
        <v>1803.82</v>
      </c>
      <c r="T25" s="19">
        <v>2082.17</v>
      </c>
      <c r="U25" s="19">
        <v>1677.73</v>
      </c>
      <c r="V25" s="19">
        <f t="shared" si="6"/>
        <v>5563.7199999999993</v>
      </c>
      <c r="W25" s="19">
        <v>1661.62</v>
      </c>
      <c r="X25" s="19">
        <v>1887.69</v>
      </c>
      <c r="Y25" s="19">
        <v>1503.6</v>
      </c>
      <c r="Z25" s="19">
        <f t="shared" si="7"/>
        <v>5052.91</v>
      </c>
    </row>
    <row r="26" spans="1:55" x14ac:dyDescent="0.3">
      <c r="A26" s="7">
        <v>20</v>
      </c>
      <c r="B26" s="2" t="s">
        <v>24</v>
      </c>
      <c r="C26" s="18">
        <f t="shared" si="0"/>
        <v>3266.41</v>
      </c>
      <c r="D26" s="18">
        <f t="shared" si="1"/>
        <v>3926.05</v>
      </c>
      <c r="E26" s="18">
        <f t="shared" si="2"/>
        <v>5653.95</v>
      </c>
      <c r="F26" s="18">
        <f t="shared" si="8"/>
        <v>12846.41</v>
      </c>
      <c r="G26" s="19">
        <v>852.29</v>
      </c>
      <c r="H26" s="19">
        <v>998.17</v>
      </c>
      <c r="I26" s="19">
        <v>1199.3499999999999</v>
      </c>
      <c r="J26" s="19">
        <f t="shared" si="3"/>
        <v>3049.81</v>
      </c>
      <c r="K26" s="19">
        <v>593.58000000000004</v>
      </c>
      <c r="L26" s="19">
        <v>722.12</v>
      </c>
      <c r="M26" s="19">
        <v>929.97</v>
      </c>
      <c r="N26" s="19">
        <f t="shared" si="4"/>
        <v>2245.67</v>
      </c>
      <c r="O26" s="19">
        <v>542.42999999999995</v>
      </c>
      <c r="P26" s="19">
        <v>663.02</v>
      </c>
      <c r="Q26" s="19">
        <v>827.8</v>
      </c>
      <c r="R26" s="19">
        <f t="shared" si="5"/>
        <v>2033.2499999999998</v>
      </c>
      <c r="S26" s="19">
        <v>657.42</v>
      </c>
      <c r="T26" s="19">
        <v>793.4</v>
      </c>
      <c r="U26" s="19">
        <v>1466.05</v>
      </c>
      <c r="V26" s="19">
        <f t="shared" si="6"/>
        <v>2916.87</v>
      </c>
      <c r="W26" s="19">
        <v>620.69000000000005</v>
      </c>
      <c r="X26" s="19">
        <v>749.34</v>
      </c>
      <c r="Y26" s="19">
        <v>1230.78</v>
      </c>
      <c r="Z26" s="19">
        <f t="shared" si="7"/>
        <v>2600.8100000000004</v>
      </c>
      <c r="BC26" t="s">
        <v>66</v>
      </c>
    </row>
    <row r="27" spans="1:55" x14ac:dyDescent="0.3">
      <c r="A27" s="7">
        <v>21</v>
      </c>
      <c r="B27" s="2" t="s">
        <v>25</v>
      </c>
      <c r="C27" s="18">
        <f t="shared" si="0"/>
        <v>6821.63</v>
      </c>
      <c r="D27" s="18">
        <f t="shared" si="1"/>
        <v>8708.7000000000007</v>
      </c>
      <c r="E27" s="18">
        <f t="shared" si="2"/>
        <v>6312.7099999999991</v>
      </c>
      <c r="F27" s="18">
        <f t="shared" si="8"/>
        <v>21843.040000000001</v>
      </c>
      <c r="G27" s="19">
        <v>1799.31</v>
      </c>
      <c r="H27" s="19">
        <v>2144.62</v>
      </c>
      <c r="I27" s="19">
        <v>1118.02</v>
      </c>
      <c r="J27" s="19">
        <f t="shared" si="3"/>
        <v>5061.95</v>
      </c>
      <c r="K27" s="19">
        <v>1162.1600000000001</v>
      </c>
      <c r="L27" s="19">
        <v>1585.72</v>
      </c>
      <c r="M27" s="19">
        <v>1302.33</v>
      </c>
      <c r="N27" s="19">
        <f t="shared" si="4"/>
        <v>4050.21</v>
      </c>
      <c r="O27" s="19">
        <v>1253.58</v>
      </c>
      <c r="P27" s="19">
        <v>1687.35</v>
      </c>
      <c r="Q27" s="19">
        <v>1556.43</v>
      </c>
      <c r="R27" s="19">
        <f t="shared" si="5"/>
        <v>4497.3599999999997</v>
      </c>
      <c r="S27" s="19">
        <v>1363.75</v>
      </c>
      <c r="T27" s="19">
        <v>1718.54</v>
      </c>
      <c r="U27" s="19">
        <v>1256.44</v>
      </c>
      <c r="V27" s="19">
        <f t="shared" si="6"/>
        <v>4338.7299999999996</v>
      </c>
      <c r="W27" s="19">
        <v>1242.83</v>
      </c>
      <c r="X27" s="19">
        <v>1572.47</v>
      </c>
      <c r="Y27" s="19">
        <v>1079.49</v>
      </c>
      <c r="Z27" s="19">
        <f t="shared" si="7"/>
        <v>3894.79</v>
      </c>
    </row>
    <row r="28" spans="1:55" x14ac:dyDescent="0.3">
      <c r="A28" s="7">
        <v>22</v>
      </c>
      <c r="B28" s="2" t="s">
        <v>38</v>
      </c>
      <c r="C28" s="18">
        <f t="shared" si="0"/>
        <v>3763.7799999999997</v>
      </c>
      <c r="D28" s="18">
        <f t="shared" si="1"/>
        <v>4301.2</v>
      </c>
      <c r="E28" s="18">
        <f t="shared" si="2"/>
        <v>5244.75</v>
      </c>
      <c r="F28" s="18">
        <f t="shared" si="8"/>
        <v>13309.73</v>
      </c>
      <c r="G28" s="19">
        <v>968.15</v>
      </c>
      <c r="H28" s="19">
        <v>1125.03</v>
      </c>
      <c r="I28" s="19">
        <v>1040.6199999999999</v>
      </c>
      <c r="J28" s="19">
        <f t="shared" si="3"/>
        <v>3133.7999999999997</v>
      </c>
      <c r="K28" s="19">
        <v>603.91</v>
      </c>
      <c r="L28" s="19">
        <v>686.06</v>
      </c>
      <c r="M28" s="19">
        <v>921.19</v>
      </c>
      <c r="N28" s="19">
        <f t="shared" si="4"/>
        <v>2211.16</v>
      </c>
      <c r="O28" s="19">
        <v>740.56</v>
      </c>
      <c r="P28" s="19">
        <v>857.31</v>
      </c>
      <c r="Q28" s="19">
        <v>1161.8699999999999</v>
      </c>
      <c r="R28" s="19">
        <f t="shared" si="5"/>
        <v>2759.74</v>
      </c>
      <c r="S28" s="19">
        <v>780.7</v>
      </c>
      <c r="T28" s="19">
        <v>863.68</v>
      </c>
      <c r="U28" s="19">
        <v>1045.44</v>
      </c>
      <c r="V28" s="19">
        <f t="shared" si="6"/>
        <v>2689.82</v>
      </c>
      <c r="W28" s="19">
        <v>670.46</v>
      </c>
      <c r="X28" s="19">
        <v>769.12</v>
      </c>
      <c r="Y28" s="19">
        <v>1075.6300000000001</v>
      </c>
      <c r="Z28" s="19">
        <f t="shared" si="7"/>
        <v>2515.21</v>
      </c>
    </row>
    <row r="29" spans="1:55" x14ac:dyDescent="0.3">
      <c r="A29" s="7">
        <v>23</v>
      </c>
      <c r="B29" s="2" t="s">
        <v>26</v>
      </c>
      <c r="C29" s="18">
        <f t="shared" si="0"/>
        <v>5430.13</v>
      </c>
      <c r="D29" s="18">
        <f t="shared" si="1"/>
        <v>6621.77</v>
      </c>
      <c r="E29" s="18">
        <f t="shared" si="2"/>
        <v>5252.29</v>
      </c>
      <c r="F29" s="18">
        <f t="shared" si="8"/>
        <v>17304.190000000002</v>
      </c>
      <c r="G29" s="19">
        <v>1506.86</v>
      </c>
      <c r="H29" s="19">
        <v>1830.95</v>
      </c>
      <c r="I29" s="19">
        <v>1310.2</v>
      </c>
      <c r="J29" s="19">
        <f t="shared" si="3"/>
        <v>4648.01</v>
      </c>
      <c r="K29" s="19">
        <v>958.45</v>
      </c>
      <c r="L29" s="19">
        <v>1163.55</v>
      </c>
      <c r="M29" s="19">
        <v>915.79</v>
      </c>
      <c r="N29" s="19">
        <f t="shared" si="4"/>
        <v>3037.79</v>
      </c>
      <c r="O29" s="19">
        <v>951.12</v>
      </c>
      <c r="P29" s="19">
        <v>1157.68</v>
      </c>
      <c r="Q29" s="19">
        <v>913.11</v>
      </c>
      <c r="R29" s="19">
        <f t="shared" si="5"/>
        <v>3021.9100000000003</v>
      </c>
      <c r="S29" s="19">
        <v>1038.5</v>
      </c>
      <c r="T29" s="19">
        <v>1281.8399999999999</v>
      </c>
      <c r="U29" s="19">
        <v>971.02</v>
      </c>
      <c r="V29" s="19">
        <f t="shared" si="6"/>
        <v>3291.36</v>
      </c>
      <c r="W29" s="19">
        <v>975.2</v>
      </c>
      <c r="X29" s="19">
        <v>1187.75</v>
      </c>
      <c r="Y29" s="19">
        <v>1142.17</v>
      </c>
      <c r="Z29" s="19">
        <f t="shared" si="7"/>
        <v>3305.12</v>
      </c>
    </row>
    <row r="30" spans="1:55" x14ac:dyDescent="0.3">
      <c r="A30" s="7">
        <v>24</v>
      </c>
      <c r="B30" s="2" t="s">
        <v>39</v>
      </c>
      <c r="C30" s="18">
        <f t="shared" si="0"/>
        <v>19825.21</v>
      </c>
      <c r="D30" s="18">
        <f t="shared" si="1"/>
        <v>22715.790000000005</v>
      </c>
      <c r="E30" s="18">
        <f t="shared" si="2"/>
        <v>20998.609999999997</v>
      </c>
      <c r="F30" s="18">
        <f t="shared" si="8"/>
        <v>63539.61</v>
      </c>
      <c r="G30" s="19">
        <v>4819.2</v>
      </c>
      <c r="H30" s="19">
        <v>5455.14</v>
      </c>
      <c r="I30" s="19">
        <v>5345.63</v>
      </c>
      <c r="J30" s="19">
        <f t="shared" si="3"/>
        <v>15619.970000000001</v>
      </c>
      <c r="K30" s="19">
        <v>3552.71</v>
      </c>
      <c r="L30" s="19">
        <v>4023.57</v>
      </c>
      <c r="M30" s="19">
        <v>3629.77</v>
      </c>
      <c r="N30" s="19">
        <f t="shared" si="4"/>
        <v>11206.050000000001</v>
      </c>
      <c r="O30" s="19">
        <v>3672.89</v>
      </c>
      <c r="P30" s="19">
        <v>4333.46</v>
      </c>
      <c r="Q30" s="19">
        <v>3737.14</v>
      </c>
      <c r="R30" s="19">
        <f t="shared" si="5"/>
        <v>11743.49</v>
      </c>
      <c r="S30" s="19">
        <v>4040.22</v>
      </c>
      <c r="T30" s="19">
        <v>4578.74</v>
      </c>
      <c r="U30" s="19">
        <v>4303.84</v>
      </c>
      <c r="V30" s="19">
        <f t="shared" si="6"/>
        <v>12922.8</v>
      </c>
      <c r="W30" s="19">
        <v>3740.19</v>
      </c>
      <c r="X30" s="19">
        <v>4324.88</v>
      </c>
      <c r="Y30" s="19">
        <v>3982.23</v>
      </c>
      <c r="Z30" s="19">
        <f t="shared" si="7"/>
        <v>12047.3</v>
      </c>
    </row>
    <row r="31" spans="1:55" x14ac:dyDescent="0.3">
      <c r="A31" s="7">
        <v>26</v>
      </c>
      <c r="B31" s="2" t="s">
        <v>27</v>
      </c>
      <c r="C31" s="18">
        <f t="shared" si="0"/>
        <v>312.20999999999998</v>
      </c>
      <c r="D31" s="18">
        <f t="shared" si="1"/>
        <v>423.39</v>
      </c>
      <c r="E31" s="18">
        <f t="shared" si="2"/>
        <v>1528.92</v>
      </c>
      <c r="F31" s="18">
        <f t="shared" si="8"/>
        <v>2264.52</v>
      </c>
      <c r="G31" s="19">
        <v>77.25</v>
      </c>
      <c r="H31" s="19">
        <v>91.99</v>
      </c>
      <c r="I31" s="19">
        <v>380.88</v>
      </c>
      <c r="J31" s="19">
        <f t="shared" si="3"/>
        <v>550.12</v>
      </c>
      <c r="K31" s="19">
        <v>52.82</v>
      </c>
      <c r="L31" s="19">
        <v>106.04</v>
      </c>
      <c r="M31" s="19">
        <v>324.49</v>
      </c>
      <c r="N31" s="19">
        <f t="shared" si="4"/>
        <v>483.35</v>
      </c>
      <c r="O31" s="19">
        <v>59.83</v>
      </c>
      <c r="P31" s="19">
        <v>72.78</v>
      </c>
      <c r="Q31" s="19">
        <v>267.61</v>
      </c>
      <c r="R31" s="19">
        <f t="shared" si="5"/>
        <v>400.22</v>
      </c>
      <c r="S31" s="19">
        <v>61.35</v>
      </c>
      <c r="T31" s="19">
        <v>75.81</v>
      </c>
      <c r="U31" s="19">
        <v>265.56</v>
      </c>
      <c r="V31" s="19">
        <f t="shared" si="6"/>
        <v>402.72</v>
      </c>
      <c r="W31" s="19">
        <v>60.96</v>
      </c>
      <c r="X31" s="19">
        <v>76.77</v>
      </c>
      <c r="Y31" s="19">
        <v>290.38</v>
      </c>
      <c r="Z31" s="19">
        <f t="shared" ref="Z31:Z44" si="9">SUM(W31:Y31)</f>
        <v>428.11</v>
      </c>
    </row>
    <row r="32" spans="1:55" x14ac:dyDescent="0.3">
      <c r="A32" s="7">
        <v>27</v>
      </c>
      <c r="B32" s="2" t="s">
        <v>40</v>
      </c>
      <c r="C32" s="18">
        <f t="shared" si="0"/>
        <v>48112.659999999996</v>
      </c>
      <c r="D32" s="18">
        <f t="shared" si="1"/>
        <v>53804.549999999996</v>
      </c>
      <c r="E32" s="18">
        <f t="shared" si="2"/>
        <v>61393.86</v>
      </c>
      <c r="F32" s="18">
        <f t="shared" si="8"/>
        <v>163311.06999999998</v>
      </c>
      <c r="G32" s="19">
        <v>12714.17</v>
      </c>
      <c r="H32" s="19">
        <v>13792.72</v>
      </c>
      <c r="I32" s="19">
        <v>15960.15</v>
      </c>
      <c r="J32" s="19">
        <f t="shared" si="3"/>
        <v>42467.040000000001</v>
      </c>
      <c r="K32" s="19">
        <v>8928.64</v>
      </c>
      <c r="L32" s="19">
        <v>10105.299999999999</v>
      </c>
      <c r="M32" s="19">
        <v>10107.39</v>
      </c>
      <c r="N32" s="19">
        <f t="shared" si="4"/>
        <v>29141.329999999998</v>
      </c>
      <c r="O32" s="19">
        <v>8863.27</v>
      </c>
      <c r="P32" s="19">
        <v>9924.0400000000009</v>
      </c>
      <c r="Q32" s="19">
        <v>11926.75</v>
      </c>
      <c r="R32" s="19">
        <f t="shared" si="5"/>
        <v>30714.06</v>
      </c>
      <c r="S32" s="19">
        <v>9075.68</v>
      </c>
      <c r="T32" s="19">
        <v>10298.709999999999</v>
      </c>
      <c r="U32" s="19">
        <v>12835.35</v>
      </c>
      <c r="V32" s="19">
        <f t="shared" si="6"/>
        <v>32209.739999999998</v>
      </c>
      <c r="W32" s="19">
        <v>8530.9</v>
      </c>
      <c r="X32" s="19">
        <v>9683.7800000000007</v>
      </c>
      <c r="Y32" s="19">
        <v>10564.22</v>
      </c>
      <c r="Z32" s="19">
        <f t="shared" si="9"/>
        <v>28778.9</v>
      </c>
    </row>
    <row r="33" spans="1:56" x14ac:dyDescent="0.3">
      <c r="A33" s="7">
        <v>29</v>
      </c>
      <c r="B33" s="2" t="s">
        <v>28</v>
      </c>
      <c r="C33" s="18">
        <f t="shared" si="0"/>
        <v>19472.29</v>
      </c>
      <c r="D33" s="18">
        <f t="shared" si="1"/>
        <v>22865.949999999997</v>
      </c>
      <c r="E33" s="18">
        <f t="shared" si="2"/>
        <v>30669.760000000002</v>
      </c>
      <c r="F33" s="18">
        <f t="shared" si="8"/>
        <v>73008</v>
      </c>
      <c r="G33" s="19">
        <v>5020.12</v>
      </c>
      <c r="H33" s="19">
        <v>5828.78</v>
      </c>
      <c r="I33" s="19">
        <v>8090.14</v>
      </c>
      <c r="J33" s="19">
        <f t="shared" si="3"/>
        <v>18939.04</v>
      </c>
      <c r="K33" s="19">
        <v>3514.18</v>
      </c>
      <c r="L33" s="19">
        <v>4195.7299999999996</v>
      </c>
      <c r="M33" s="19">
        <v>5420.26</v>
      </c>
      <c r="N33" s="19">
        <f t="shared" si="4"/>
        <v>13130.17</v>
      </c>
      <c r="O33" s="19">
        <v>3484.45</v>
      </c>
      <c r="P33" s="19">
        <v>4117.87</v>
      </c>
      <c r="Q33" s="19">
        <v>5334.22</v>
      </c>
      <c r="R33" s="19">
        <f t="shared" si="5"/>
        <v>12936.54</v>
      </c>
      <c r="S33" s="19">
        <v>3751.33</v>
      </c>
      <c r="T33" s="19">
        <v>4382.96</v>
      </c>
      <c r="U33" s="19">
        <v>5719.96</v>
      </c>
      <c r="V33" s="19">
        <f t="shared" si="6"/>
        <v>13854.25</v>
      </c>
      <c r="W33" s="19">
        <v>3702.21</v>
      </c>
      <c r="X33" s="19">
        <v>4340.6099999999997</v>
      </c>
      <c r="Y33" s="19">
        <v>6105.18</v>
      </c>
      <c r="Z33" s="19">
        <f t="shared" si="9"/>
        <v>14148</v>
      </c>
    </row>
    <row r="34" spans="1:56" x14ac:dyDescent="0.3">
      <c r="A34" s="7">
        <v>30</v>
      </c>
      <c r="B34" s="2" t="s">
        <v>29</v>
      </c>
      <c r="C34" s="18">
        <f t="shared" si="0"/>
        <v>1049.67</v>
      </c>
      <c r="D34" s="18">
        <f t="shared" si="1"/>
        <v>1245.73</v>
      </c>
      <c r="E34" s="18">
        <f t="shared" si="2"/>
        <v>753.9899999999999</v>
      </c>
      <c r="F34" s="18">
        <f t="shared" si="8"/>
        <v>3049.39</v>
      </c>
      <c r="G34" s="19">
        <v>260.02999999999997</v>
      </c>
      <c r="H34" s="19">
        <v>309.93</v>
      </c>
      <c r="I34" s="19">
        <v>186.87</v>
      </c>
      <c r="J34" s="19">
        <f t="shared" si="3"/>
        <v>756.83</v>
      </c>
      <c r="K34" s="19">
        <v>191.36</v>
      </c>
      <c r="L34" s="19">
        <v>226.41</v>
      </c>
      <c r="M34" s="19">
        <v>117.37</v>
      </c>
      <c r="N34" s="19">
        <f t="shared" si="4"/>
        <v>535.14</v>
      </c>
      <c r="O34" s="19">
        <v>200.72</v>
      </c>
      <c r="P34" s="19">
        <v>233.67</v>
      </c>
      <c r="Q34" s="19">
        <v>169.91</v>
      </c>
      <c r="R34" s="19">
        <f t="shared" si="5"/>
        <v>604.29999999999995</v>
      </c>
      <c r="S34" s="19">
        <v>220.51</v>
      </c>
      <c r="T34" s="19">
        <v>264.37</v>
      </c>
      <c r="U34" s="19">
        <v>137.43</v>
      </c>
      <c r="V34" s="19">
        <f t="shared" si="6"/>
        <v>622.30999999999995</v>
      </c>
      <c r="W34" s="19">
        <v>177.05</v>
      </c>
      <c r="X34" s="19">
        <v>211.35</v>
      </c>
      <c r="Y34" s="19">
        <v>142.41</v>
      </c>
      <c r="Z34" s="19">
        <f t="shared" si="9"/>
        <v>530.80999999999995</v>
      </c>
    </row>
    <row r="35" spans="1:56" x14ac:dyDescent="0.3">
      <c r="A35" s="7">
        <v>31</v>
      </c>
      <c r="B35" s="2" t="s">
        <v>30</v>
      </c>
      <c r="C35" s="18">
        <f t="shared" si="0"/>
        <v>4.7</v>
      </c>
      <c r="D35" s="18">
        <f t="shared" si="1"/>
        <v>5.53</v>
      </c>
      <c r="E35" s="18">
        <f t="shared" si="2"/>
        <v>2.23</v>
      </c>
      <c r="F35" s="18">
        <f t="shared" si="8"/>
        <v>12.459999999999999</v>
      </c>
      <c r="G35" s="19">
        <v>2.0099999999999998</v>
      </c>
      <c r="H35" s="19">
        <v>2.29</v>
      </c>
      <c r="I35" s="19">
        <v>1</v>
      </c>
      <c r="J35" s="19">
        <f t="shared" si="3"/>
        <v>5.3</v>
      </c>
      <c r="K35" s="19">
        <v>0.37</v>
      </c>
      <c r="L35" s="19">
        <v>0.57999999999999996</v>
      </c>
      <c r="M35" s="19">
        <v>0.28000000000000003</v>
      </c>
      <c r="N35" s="19">
        <f t="shared" si="4"/>
        <v>1.23</v>
      </c>
      <c r="O35" s="19">
        <v>0.75</v>
      </c>
      <c r="P35" s="19">
        <v>0.75</v>
      </c>
      <c r="Q35" s="19">
        <v>0.22</v>
      </c>
      <c r="R35" s="19">
        <f t="shared" si="5"/>
        <v>1.72</v>
      </c>
      <c r="S35" s="19">
        <v>0.65</v>
      </c>
      <c r="T35" s="19">
        <v>0.95</v>
      </c>
      <c r="U35" s="19">
        <v>0.41</v>
      </c>
      <c r="V35" s="19">
        <f t="shared" si="6"/>
        <v>2.0100000000000002</v>
      </c>
      <c r="W35" s="19">
        <v>0.92</v>
      </c>
      <c r="X35" s="19">
        <v>0.96</v>
      </c>
      <c r="Y35" s="19">
        <v>0.32</v>
      </c>
      <c r="Z35" s="19">
        <f t="shared" si="9"/>
        <v>2.1999999999999997</v>
      </c>
    </row>
    <row r="36" spans="1:56" x14ac:dyDescent="0.3">
      <c r="A36" s="7">
        <v>32</v>
      </c>
      <c r="B36" s="2" t="s">
        <v>31</v>
      </c>
      <c r="C36" s="18">
        <f t="shared" si="0"/>
        <v>6271.98</v>
      </c>
      <c r="D36" s="18">
        <f t="shared" si="1"/>
        <v>7488.56</v>
      </c>
      <c r="E36" s="18">
        <f t="shared" si="2"/>
        <v>2670.1099999999997</v>
      </c>
      <c r="F36" s="18">
        <f t="shared" si="8"/>
        <v>16430.650000000001</v>
      </c>
      <c r="G36" s="19">
        <v>1423.39</v>
      </c>
      <c r="H36" s="19">
        <v>1717.69</v>
      </c>
      <c r="I36" s="19">
        <v>703.73</v>
      </c>
      <c r="J36" s="19">
        <f t="shared" si="3"/>
        <v>3844.81</v>
      </c>
      <c r="K36" s="19">
        <v>1255.3499999999999</v>
      </c>
      <c r="L36" s="19">
        <v>1508.37</v>
      </c>
      <c r="M36" s="19">
        <v>433.54</v>
      </c>
      <c r="N36" s="19">
        <f t="shared" si="4"/>
        <v>3197.2599999999998</v>
      </c>
      <c r="O36" s="19">
        <v>1248.81</v>
      </c>
      <c r="P36" s="19">
        <v>1461.82</v>
      </c>
      <c r="Q36" s="19">
        <v>448.66</v>
      </c>
      <c r="R36" s="19">
        <f t="shared" si="5"/>
        <v>3159.29</v>
      </c>
      <c r="S36" s="19">
        <v>1212.2</v>
      </c>
      <c r="T36" s="19">
        <v>1431.92</v>
      </c>
      <c r="U36" s="19">
        <v>507.46</v>
      </c>
      <c r="V36" s="19">
        <f t="shared" si="6"/>
        <v>3151.58</v>
      </c>
      <c r="W36" s="19">
        <v>1132.23</v>
      </c>
      <c r="X36" s="19">
        <v>1368.76</v>
      </c>
      <c r="Y36" s="19">
        <v>576.72</v>
      </c>
      <c r="Z36" s="19">
        <f t="shared" si="9"/>
        <v>3077.71</v>
      </c>
    </row>
    <row r="37" spans="1:56" x14ac:dyDescent="0.3">
      <c r="A37" s="7">
        <v>33</v>
      </c>
      <c r="B37" s="2" t="s">
        <v>32</v>
      </c>
      <c r="C37" s="18">
        <f t="shared" si="0"/>
        <v>15872.59</v>
      </c>
      <c r="D37" s="18">
        <f t="shared" si="1"/>
        <v>19936.23</v>
      </c>
      <c r="E37" s="18">
        <f t="shared" si="2"/>
        <v>17965.260000000002</v>
      </c>
      <c r="F37" s="18">
        <f t="shared" si="8"/>
        <v>53774.080000000002</v>
      </c>
      <c r="G37" s="20">
        <v>3849.25</v>
      </c>
      <c r="H37" s="20">
        <v>4724.49</v>
      </c>
      <c r="I37" s="20">
        <v>4987.21</v>
      </c>
      <c r="J37" s="20">
        <f t="shared" si="3"/>
        <v>13560.95</v>
      </c>
      <c r="K37" s="19">
        <v>2926.66</v>
      </c>
      <c r="L37" s="19">
        <v>3776.45</v>
      </c>
      <c r="M37" s="19">
        <v>3131.09</v>
      </c>
      <c r="N37" s="20">
        <f t="shared" si="4"/>
        <v>9834.2000000000007</v>
      </c>
      <c r="O37" s="19">
        <v>2906.86</v>
      </c>
      <c r="P37" s="19">
        <v>3639.44</v>
      </c>
      <c r="Q37" s="19">
        <v>3229.74</v>
      </c>
      <c r="R37" s="20">
        <f t="shared" si="5"/>
        <v>9776.0400000000009</v>
      </c>
      <c r="S37" s="19">
        <v>3146.83</v>
      </c>
      <c r="T37" s="19">
        <v>3834.5</v>
      </c>
      <c r="U37" s="19">
        <v>3432.64</v>
      </c>
      <c r="V37" s="20">
        <f t="shared" si="6"/>
        <v>10413.969999999999</v>
      </c>
      <c r="W37" s="19">
        <v>3042.99</v>
      </c>
      <c r="X37" s="19">
        <v>3961.35</v>
      </c>
      <c r="Y37" s="19">
        <v>3184.58</v>
      </c>
      <c r="Z37" s="20">
        <f t="shared" si="9"/>
        <v>10188.92</v>
      </c>
    </row>
    <row r="38" spans="1:56" x14ac:dyDescent="0.3">
      <c r="A38" s="7">
        <v>34</v>
      </c>
      <c r="B38" s="2" t="s">
        <v>33</v>
      </c>
      <c r="C38" s="18">
        <f t="shared" si="0"/>
        <v>177.99</v>
      </c>
      <c r="D38" s="18">
        <f t="shared" si="1"/>
        <v>247.68</v>
      </c>
      <c r="E38" s="18">
        <f t="shared" si="2"/>
        <v>591.05999999999995</v>
      </c>
      <c r="F38" s="18">
        <f t="shared" si="8"/>
        <v>1016.73</v>
      </c>
      <c r="G38" s="20">
        <v>40.409999999999997</v>
      </c>
      <c r="H38" s="20">
        <v>57.64</v>
      </c>
      <c r="I38" s="20">
        <v>135.07</v>
      </c>
      <c r="J38" s="20">
        <f t="shared" si="3"/>
        <v>233.12</v>
      </c>
      <c r="K38" s="19">
        <v>33.96</v>
      </c>
      <c r="L38" s="19">
        <v>45.74</v>
      </c>
      <c r="M38" s="19">
        <v>132.93</v>
      </c>
      <c r="N38" s="20">
        <f t="shared" si="4"/>
        <v>212.63</v>
      </c>
      <c r="O38" s="19">
        <v>34.049999999999997</v>
      </c>
      <c r="P38" s="19">
        <v>47.18</v>
      </c>
      <c r="Q38" s="19">
        <v>91.12</v>
      </c>
      <c r="R38" s="20">
        <f t="shared" si="5"/>
        <v>172.35</v>
      </c>
      <c r="S38" s="19">
        <v>33.94</v>
      </c>
      <c r="T38" s="19">
        <v>48.42</v>
      </c>
      <c r="U38" s="19">
        <v>121.13</v>
      </c>
      <c r="V38" s="20">
        <f t="shared" si="6"/>
        <v>203.49</v>
      </c>
      <c r="W38" s="19">
        <v>35.630000000000003</v>
      </c>
      <c r="X38" s="19">
        <v>48.7</v>
      </c>
      <c r="Y38" s="19">
        <v>110.81</v>
      </c>
      <c r="Z38" s="20">
        <f t="shared" si="9"/>
        <v>195.14000000000001</v>
      </c>
    </row>
    <row r="39" spans="1:56" x14ac:dyDescent="0.3">
      <c r="A39" s="7">
        <v>35</v>
      </c>
      <c r="B39" s="3" t="s">
        <v>41</v>
      </c>
      <c r="C39" s="18">
        <f t="shared" si="0"/>
        <v>97.09</v>
      </c>
      <c r="D39" s="18">
        <f t="shared" si="1"/>
        <v>120.29</v>
      </c>
      <c r="E39" s="18">
        <f t="shared" si="2"/>
        <v>54.22</v>
      </c>
      <c r="F39" s="18">
        <f t="shared" si="8"/>
        <v>271.60000000000002</v>
      </c>
      <c r="G39" s="19">
        <v>21.42</v>
      </c>
      <c r="H39" s="19">
        <v>28.34</v>
      </c>
      <c r="I39" s="19">
        <v>14.93</v>
      </c>
      <c r="J39" s="19">
        <f t="shared" si="3"/>
        <v>64.69</v>
      </c>
      <c r="K39" s="19">
        <v>17.7</v>
      </c>
      <c r="L39" s="19">
        <v>20.25</v>
      </c>
      <c r="M39" s="19">
        <v>9.66</v>
      </c>
      <c r="N39" s="19">
        <f t="shared" si="4"/>
        <v>47.61</v>
      </c>
      <c r="O39" s="19">
        <v>17.309999999999999</v>
      </c>
      <c r="P39" s="19">
        <v>21.61</v>
      </c>
      <c r="Q39" s="19">
        <v>10.06</v>
      </c>
      <c r="R39" s="19">
        <f t="shared" si="5"/>
        <v>48.980000000000004</v>
      </c>
      <c r="S39" s="19">
        <v>24.92</v>
      </c>
      <c r="T39" s="19">
        <v>28.2</v>
      </c>
      <c r="U39" s="19">
        <v>8.5</v>
      </c>
      <c r="V39" s="19">
        <f t="shared" si="6"/>
        <v>61.620000000000005</v>
      </c>
      <c r="W39" s="19">
        <v>15.74</v>
      </c>
      <c r="X39" s="19">
        <v>21.89</v>
      </c>
      <c r="Y39" s="19">
        <v>11.07</v>
      </c>
      <c r="Z39" s="19">
        <f t="shared" si="9"/>
        <v>48.7</v>
      </c>
    </row>
    <row r="40" spans="1:56" x14ac:dyDescent="0.3">
      <c r="A40" s="7">
        <v>36</v>
      </c>
      <c r="B40" s="2" t="s">
        <v>34</v>
      </c>
      <c r="C40" s="18">
        <f t="shared" si="0"/>
        <v>8667.4700000000012</v>
      </c>
      <c r="D40" s="18">
        <f t="shared" si="1"/>
        <v>10431.369999999999</v>
      </c>
      <c r="E40" s="18">
        <f t="shared" si="2"/>
        <v>9338.91</v>
      </c>
      <c r="F40" s="18">
        <f t="shared" si="8"/>
        <v>28437.75</v>
      </c>
      <c r="G40" s="19">
        <v>2091.5300000000002</v>
      </c>
      <c r="H40" s="19">
        <v>2526.96</v>
      </c>
      <c r="I40" s="19">
        <v>2562.08</v>
      </c>
      <c r="J40" s="19">
        <f t="shared" si="3"/>
        <v>7180.57</v>
      </c>
      <c r="K40" s="19">
        <v>1537.82</v>
      </c>
      <c r="L40" s="19">
        <v>1860.5</v>
      </c>
      <c r="M40" s="19">
        <v>1647.05</v>
      </c>
      <c r="N40" s="19">
        <f t="shared" si="4"/>
        <v>5045.37</v>
      </c>
      <c r="O40" s="19">
        <v>1555.94</v>
      </c>
      <c r="P40" s="19">
        <v>1843.25</v>
      </c>
      <c r="Q40" s="19">
        <v>1651.04</v>
      </c>
      <c r="R40" s="19">
        <f t="shared" si="5"/>
        <v>5050.2299999999996</v>
      </c>
      <c r="S40" s="19">
        <v>1841.54</v>
      </c>
      <c r="T40" s="19">
        <v>2209.34</v>
      </c>
      <c r="U40" s="19">
        <v>1767.73</v>
      </c>
      <c r="V40" s="19">
        <f t="shared" si="6"/>
        <v>5818.6100000000006</v>
      </c>
      <c r="W40" s="19">
        <v>1640.64</v>
      </c>
      <c r="X40" s="19">
        <v>1991.32</v>
      </c>
      <c r="Y40" s="19">
        <v>1711.01</v>
      </c>
      <c r="Z40" s="19">
        <f t="shared" si="9"/>
        <v>5342.97</v>
      </c>
    </row>
    <row r="41" spans="1:56" x14ac:dyDescent="0.3">
      <c r="A41" s="7">
        <v>37</v>
      </c>
      <c r="B41" s="2" t="s">
        <v>35</v>
      </c>
      <c r="C41" s="18">
        <f t="shared" si="0"/>
        <v>5290.36</v>
      </c>
      <c r="D41" s="18">
        <f t="shared" si="1"/>
        <v>6627.3600000000006</v>
      </c>
      <c r="E41" s="18">
        <f t="shared" si="2"/>
        <v>6474.9400000000005</v>
      </c>
      <c r="F41" s="18">
        <f t="shared" si="8"/>
        <v>18392.66</v>
      </c>
      <c r="G41" s="19">
        <v>1305.4000000000001</v>
      </c>
      <c r="H41" s="19">
        <v>1602.02</v>
      </c>
      <c r="I41" s="19">
        <v>1415.65</v>
      </c>
      <c r="J41" s="19">
        <f t="shared" si="3"/>
        <v>4323.07</v>
      </c>
      <c r="K41" s="19">
        <v>1096.81</v>
      </c>
      <c r="L41" s="19">
        <v>1316.02</v>
      </c>
      <c r="M41" s="19">
        <v>1304.6600000000001</v>
      </c>
      <c r="N41" s="19">
        <f t="shared" si="4"/>
        <v>3717.49</v>
      </c>
      <c r="O41" s="19">
        <v>976.21</v>
      </c>
      <c r="P41" s="19">
        <v>1246.1400000000001</v>
      </c>
      <c r="Q41" s="19">
        <v>1325.75</v>
      </c>
      <c r="R41" s="19">
        <f t="shared" si="5"/>
        <v>3548.1000000000004</v>
      </c>
      <c r="S41" s="19">
        <v>981.29</v>
      </c>
      <c r="T41" s="19">
        <v>1274.27</v>
      </c>
      <c r="U41" s="19">
        <v>1110.08</v>
      </c>
      <c r="V41" s="19">
        <f t="shared" si="6"/>
        <v>3365.64</v>
      </c>
      <c r="W41" s="19">
        <v>930.65</v>
      </c>
      <c r="X41" s="19">
        <v>1188.9100000000001</v>
      </c>
      <c r="Y41" s="19">
        <v>1318.8</v>
      </c>
      <c r="Z41" s="19">
        <f t="shared" si="9"/>
        <v>3438.3599999999997</v>
      </c>
    </row>
    <row r="42" spans="1:56" x14ac:dyDescent="0.3">
      <c r="A42" s="7">
        <v>38</v>
      </c>
      <c r="B42" s="2" t="s">
        <v>36</v>
      </c>
      <c r="C42" s="18">
        <f t="shared" si="0"/>
        <v>85.87</v>
      </c>
      <c r="D42" s="18">
        <f t="shared" si="1"/>
        <v>108.55000000000001</v>
      </c>
      <c r="E42" s="18">
        <f t="shared" si="2"/>
        <v>26.68</v>
      </c>
      <c r="F42" s="18">
        <f t="shared" si="8"/>
        <v>221.1</v>
      </c>
      <c r="G42" s="19">
        <v>25.39</v>
      </c>
      <c r="H42" s="19">
        <v>30.62</v>
      </c>
      <c r="I42" s="19">
        <v>10.47</v>
      </c>
      <c r="J42" s="19">
        <f t="shared" si="3"/>
        <v>66.48</v>
      </c>
      <c r="K42" s="19">
        <v>9</v>
      </c>
      <c r="L42" s="19">
        <v>12.42</v>
      </c>
      <c r="M42" s="19">
        <v>2.68</v>
      </c>
      <c r="N42" s="19">
        <f t="shared" si="4"/>
        <v>24.1</v>
      </c>
      <c r="O42" s="19">
        <v>9.98</v>
      </c>
      <c r="P42" s="19">
        <v>13.03</v>
      </c>
      <c r="Q42" s="19">
        <v>3.09</v>
      </c>
      <c r="R42" s="19">
        <f t="shared" si="5"/>
        <v>26.099999999999998</v>
      </c>
      <c r="S42" s="19">
        <v>22.24</v>
      </c>
      <c r="T42" s="19">
        <v>28.8</v>
      </c>
      <c r="U42" s="19">
        <v>5.68</v>
      </c>
      <c r="V42" s="19">
        <f t="shared" si="6"/>
        <v>56.72</v>
      </c>
      <c r="W42" s="19">
        <v>19.260000000000002</v>
      </c>
      <c r="X42" s="19">
        <v>23.68</v>
      </c>
      <c r="Y42" s="19">
        <v>4.76</v>
      </c>
      <c r="Z42" s="19">
        <f t="shared" si="9"/>
        <v>47.699999999999996</v>
      </c>
    </row>
    <row r="43" spans="1:56" x14ac:dyDescent="0.3">
      <c r="A43" s="7">
        <v>97</v>
      </c>
      <c r="B43" s="4" t="s">
        <v>37</v>
      </c>
      <c r="C43" s="18">
        <f t="shared" si="0"/>
        <v>164.92</v>
      </c>
      <c r="D43" s="18">
        <f t="shared" si="1"/>
        <v>223.45</v>
      </c>
      <c r="E43" s="18">
        <f t="shared" si="2"/>
        <v>1094.78</v>
      </c>
      <c r="F43" s="18">
        <f t="shared" si="8"/>
        <v>1483.1499999999999</v>
      </c>
      <c r="G43" s="19">
        <v>41.96</v>
      </c>
      <c r="H43" s="19">
        <v>49.1</v>
      </c>
      <c r="I43" s="19">
        <v>204.7</v>
      </c>
      <c r="J43" s="19">
        <f t="shared" si="3"/>
        <v>295.76</v>
      </c>
      <c r="K43" s="19">
        <v>37.39</v>
      </c>
      <c r="L43" s="19">
        <v>44.72</v>
      </c>
      <c r="M43" s="19">
        <v>218.86</v>
      </c>
      <c r="N43" s="19">
        <f t="shared" si="4"/>
        <v>300.97000000000003</v>
      </c>
      <c r="O43" s="19">
        <v>29.27</v>
      </c>
      <c r="P43" s="19">
        <v>38.08</v>
      </c>
      <c r="Q43" s="19">
        <v>239.08</v>
      </c>
      <c r="R43" s="19">
        <f t="shared" si="5"/>
        <v>306.43</v>
      </c>
      <c r="S43" s="19">
        <v>37.049999999999997</v>
      </c>
      <c r="T43" s="19">
        <v>54.27</v>
      </c>
      <c r="U43" s="19">
        <v>227.85</v>
      </c>
      <c r="V43" s="19">
        <f t="shared" si="6"/>
        <v>319.16999999999996</v>
      </c>
      <c r="W43" s="19">
        <v>19.25</v>
      </c>
      <c r="X43" s="19">
        <v>37.28</v>
      </c>
      <c r="Y43" s="19">
        <v>204.29</v>
      </c>
      <c r="Z43" s="19">
        <f t="shared" si="9"/>
        <v>260.82</v>
      </c>
    </row>
    <row r="44" spans="1:56" x14ac:dyDescent="0.3">
      <c r="A44" s="7">
        <v>99</v>
      </c>
      <c r="B44" s="4" t="s">
        <v>62</v>
      </c>
      <c r="C44" s="18">
        <f t="shared" si="0"/>
        <v>0</v>
      </c>
      <c r="D44" s="18">
        <f t="shared" si="1"/>
        <v>0</v>
      </c>
      <c r="E44" s="18">
        <f t="shared" si="2"/>
        <v>2446.92</v>
      </c>
      <c r="F44" s="18">
        <f t="shared" si="8"/>
        <v>2446.92</v>
      </c>
      <c r="G44" s="21">
        <v>0</v>
      </c>
      <c r="H44" s="21">
        <v>0</v>
      </c>
      <c r="I44" s="21">
        <v>440.72</v>
      </c>
      <c r="J44" s="21">
        <f t="shared" si="3"/>
        <v>440.72</v>
      </c>
      <c r="K44" s="19">
        <v>0</v>
      </c>
      <c r="L44" s="19">
        <v>0</v>
      </c>
      <c r="M44" s="19">
        <v>449.21</v>
      </c>
      <c r="N44" s="21">
        <f t="shared" si="4"/>
        <v>449.21</v>
      </c>
      <c r="O44" s="19">
        <v>0</v>
      </c>
      <c r="P44" s="19">
        <v>0</v>
      </c>
      <c r="Q44" s="19">
        <v>523.57000000000005</v>
      </c>
      <c r="R44" s="21">
        <f t="shared" si="5"/>
        <v>523.57000000000005</v>
      </c>
      <c r="S44" s="19">
        <v>0</v>
      </c>
      <c r="T44" s="19">
        <v>0</v>
      </c>
      <c r="U44" s="19">
        <v>507.52</v>
      </c>
      <c r="V44" s="21">
        <f t="shared" si="6"/>
        <v>507.52</v>
      </c>
      <c r="W44" s="19">
        <v>0</v>
      </c>
      <c r="X44" s="19">
        <v>0</v>
      </c>
      <c r="Y44" s="19">
        <v>525.9</v>
      </c>
      <c r="Z44" s="21">
        <f t="shared" si="9"/>
        <v>525.9</v>
      </c>
    </row>
    <row r="45" spans="1:56" s="11" customFormat="1" x14ac:dyDescent="0.3">
      <c r="A45" s="65" t="s">
        <v>56</v>
      </c>
      <c r="B45" s="65"/>
      <c r="C45" s="25">
        <f t="shared" ref="C45:Z45" si="10">SUM(C7:C44)</f>
        <v>205160.57</v>
      </c>
      <c r="D45" s="25">
        <f t="shared" si="10"/>
        <v>245787</v>
      </c>
      <c r="E45" s="25">
        <f t="shared" si="10"/>
        <v>285422.84999999992</v>
      </c>
      <c r="F45" s="25">
        <f t="shared" si="10"/>
        <v>736370.42</v>
      </c>
      <c r="G45" s="13">
        <f t="shared" si="10"/>
        <v>52140.250000000007</v>
      </c>
      <c r="H45" s="13">
        <f t="shared" si="10"/>
        <v>61330.55999999999</v>
      </c>
      <c r="I45" s="13">
        <f t="shared" si="10"/>
        <v>71651.26999999999</v>
      </c>
      <c r="J45" s="13">
        <f t="shared" si="10"/>
        <v>185122.08000000005</v>
      </c>
      <c r="K45" s="13">
        <f t="shared" si="10"/>
        <v>37397.05999999999</v>
      </c>
      <c r="L45" s="13">
        <f t="shared" si="10"/>
        <v>45143.24</v>
      </c>
      <c r="M45" s="13">
        <f t="shared" si="10"/>
        <v>51990.160000000025</v>
      </c>
      <c r="N45" s="13">
        <f t="shared" si="10"/>
        <v>134530.46</v>
      </c>
      <c r="O45" s="13">
        <f t="shared" si="10"/>
        <v>37375.840000000004</v>
      </c>
      <c r="P45" s="13">
        <f t="shared" si="10"/>
        <v>45116.310000000005</v>
      </c>
      <c r="Q45" s="13">
        <f t="shared" si="10"/>
        <v>52281.94</v>
      </c>
      <c r="R45" s="13">
        <f t="shared" si="10"/>
        <v>134774.09</v>
      </c>
      <c r="S45" s="13">
        <f t="shared" si="10"/>
        <v>39834.65</v>
      </c>
      <c r="T45" s="13">
        <f t="shared" si="10"/>
        <v>47880.949999999983</v>
      </c>
      <c r="U45" s="13">
        <f t="shared" si="10"/>
        <v>56979.199999999997</v>
      </c>
      <c r="V45" s="13">
        <f t="shared" si="10"/>
        <v>144694.80000000002</v>
      </c>
      <c r="W45" s="13">
        <f t="shared" si="10"/>
        <v>38412.76999999999</v>
      </c>
      <c r="X45" s="13">
        <f t="shared" si="10"/>
        <v>46315.94</v>
      </c>
      <c r="Y45" s="13">
        <f t="shared" si="10"/>
        <v>52520.280000000021</v>
      </c>
      <c r="Z45" s="13">
        <f t="shared" si="10"/>
        <v>137248.98999999996</v>
      </c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1:56" x14ac:dyDescent="0.3">
      <c r="C46" s="15"/>
      <c r="D46" s="15"/>
      <c r="E46" s="15"/>
      <c r="F46" s="15"/>
      <c r="G46" s="15"/>
      <c r="H46" s="15"/>
      <c r="I46" s="15"/>
      <c r="J46" s="15"/>
      <c r="BC46" s="15"/>
    </row>
    <row r="47" spans="1:56" s="1" customFormat="1" x14ac:dyDescent="0.3">
      <c r="A47" s="64" t="s">
        <v>52</v>
      </c>
      <c r="B47" s="64"/>
      <c r="C47" s="25">
        <f>G47+K47+O47+S47+W47+AA47+AE47+AI47+AM47+AQ47+AU47+AY47</f>
        <v>0</v>
      </c>
      <c r="D47" s="25">
        <f>H47+L47+P47+T47+X47+AB47+AF47+AJ47+AN47+AR47+AV47+AZ47</f>
        <v>0</v>
      </c>
      <c r="E47" s="25">
        <f>I47+M47+Q47+U47+Y47+AC47+AG47+AK47+AO47+AS47+AW47+BA47</f>
        <v>306387.02723568003</v>
      </c>
      <c r="F47" s="25">
        <f>J47+N47+R47+V47+Z47+AD47+AH47+AL47+AP47+AT47+AX47+BB47</f>
        <v>306387.02723568003</v>
      </c>
      <c r="G47" s="13">
        <v>0</v>
      </c>
      <c r="H47" s="13">
        <v>0</v>
      </c>
      <c r="I47" s="13">
        <v>57580.406101599998</v>
      </c>
      <c r="J47" s="13">
        <f>SUM(G47:I47)</f>
        <v>57580.406101599998</v>
      </c>
      <c r="K47" s="13">
        <v>0</v>
      </c>
      <c r="L47" s="13">
        <v>0</v>
      </c>
      <c r="M47" s="13">
        <v>59653.8985875</v>
      </c>
      <c r="N47" s="13">
        <f>SUM(K47:M47)</f>
        <v>59653.8985875</v>
      </c>
      <c r="O47" s="13">
        <v>0</v>
      </c>
      <c r="P47" s="13">
        <v>0</v>
      </c>
      <c r="Q47" s="13">
        <v>60038.301154890003</v>
      </c>
      <c r="R47" s="13">
        <f>SUM(O47:Q47)</f>
        <v>60038.301154890003</v>
      </c>
      <c r="S47" s="13">
        <v>0</v>
      </c>
      <c r="T47" s="13">
        <v>0</v>
      </c>
      <c r="U47" s="13">
        <v>66510.611412290003</v>
      </c>
      <c r="V47" s="13">
        <f>SUM(S47:U47)</f>
        <v>66510.611412290003</v>
      </c>
      <c r="W47" s="13">
        <v>0</v>
      </c>
      <c r="X47" s="13">
        <v>0</v>
      </c>
      <c r="Y47" s="13">
        <v>62603.809979400001</v>
      </c>
      <c r="Z47" s="13">
        <f>SUM(W47:Y47)</f>
        <v>62603.809979400001</v>
      </c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s="15"/>
      <c r="BD47"/>
    </row>
    <row r="48" spans="1:56" x14ac:dyDescent="0.3">
      <c r="C48" s="15"/>
      <c r="D48" s="15"/>
      <c r="E48" s="15"/>
      <c r="F48" s="15"/>
      <c r="G48" s="15"/>
      <c r="H48" s="15"/>
      <c r="I48" s="15"/>
      <c r="J48" s="15"/>
      <c r="BC48" s="15"/>
    </row>
    <row r="49" spans="1:55" x14ac:dyDescent="0.3">
      <c r="A49" s="63" t="s">
        <v>44</v>
      </c>
      <c r="B49" s="63"/>
      <c r="C49" s="16">
        <f>C47+C45</f>
        <v>205160.57</v>
      </c>
      <c r="D49" s="16">
        <f>D47+D45</f>
        <v>245787</v>
      </c>
      <c r="E49" s="16">
        <f>E47+E45</f>
        <v>591809.87723567989</v>
      </c>
      <c r="F49" s="16">
        <f>F47+F45</f>
        <v>1042757.4472356801</v>
      </c>
      <c r="G49" s="16">
        <f t="shared" ref="G49:N49" si="11">G47+G45</f>
        <v>52140.250000000007</v>
      </c>
      <c r="H49" s="16">
        <f t="shared" si="11"/>
        <v>61330.55999999999</v>
      </c>
      <c r="I49" s="16">
        <f t="shared" si="11"/>
        <v>129231.67610159999</v>
      </c>
      <c r="J49" s="16">
        <f t="shared" si="11"/>
        <v>242702.48610160005</v>
      </c>
      <c r="K49" s="16">
        <f t="shared" si="11"/>
        <v>37397.05999999999</v>
      </c>
      <c r="L49" s="16">
        <f t="shared" si="11"/>
        <v>45143.24</v>
      </c>
      <c r="M49" s="16">
        <f t="shared" si="11"/>
        <v>111644.05858750003</v>
      </c>
      <c r="N49" s="16">
        <f t="shared" si="11"/>
        <v>194184.3585875</v>
      </c>
      <c r="O49" s="16">
        <f t="shared" ref="O49:R49" si="12">O47+O45</f>
        <v>37375.840000000004</v>
      </c>
      <c r="P49" s="16">
        <f t="shared" si="12"/>
        <v>45116.310000000005</v>
      </c>
      <c r="Q49" s="16">
        <f t="shared" si="12"/>
        <v>112320.24115489001</v>
      </c>
      <c r="R49" s="16">
        <f t="shared" si="12"/>
        <v>194812.39115489001</v>
      </c>
      <c r="S49" s="16">
        <f t="shared" ref="S49:V49" si="13">S47+S45</f>
        <v>39834.65</v>
      </c>
      <c r="T49" s="16">
        <f t="shared" si="13"/>
        <v>47880.949999999983</v>
      </c>
      <c r="U49" s="16">
        <f t="shared" si="13"/>
        <v>123489.81141229</v>
      </c>
      <c r="V49" s="16">
        <f t="shared" si="13"/>
        <v>211205.41141229001</v>
      </c>
      <c r="W49" s="16">
        <f t="shared" ref="W49:Z49" si="14">W47+W45</f>
        <v>38412.76999999999</v>
      </c>
      <c r="X49" s="16">
        <f t="shared" si="14"/>
        <v>46315.94</v>
      </c>
      <c r="Y49" s="16">
        <f t="shared" si="14"/>
        <v>115124.08997940001</v>
      </c>
      <c r="Z49" s="16">
        <f t="shared" si="14"/>
        <v>199852.79997939995</v>
      </c>
      <c r="BC49" s="15"/>
    </row>
    <row r="50" spans="1:55" x14ac:dyDescent="0.3">
      <c r="C50" s="34"/>
      <c r="D50" s="34"/>
      <c r="E50" s="34"/>
      <c r="F50" s="34"/>
      <c r="G50" s="34"/>
      <c r="H50" s="34"/>
      <c r="I50" s="34"/>
      <c r="J50" s="34"/>
      <c r="BC50" s="15"/>
    </row>
    <row r="51" spans="1:55" x14ac:dyDescent="0.3">
      <c r="C51" s="34"/>
      <c r="D51" s="34"/>
      <c r="E51" s="34"/>
      <c r="F51" s="34"/>
    </row>
    <row r="52" spans="1:55" ht="15.6" x14ac:dyDescent="0.3">
      <c r="B52" s="24" t="s">
        <v>63</v>
      </c>
      <c r="C52" s="34"/>
      <c r="D52" s="34"/>
      <c r="E52" s="34"/>
      <c r="F52" s="34"/>
    </row>
    <row r="53" spans="1:55" x14ac:dyDescent="0.3">
      <c r="B53" s="45" t="s">
        <v>65</v>
      </c>
      <c r="C53" s="45"/>
      <c r="D53" s="45"/>
      <c r="E53" s="45"/>
      <c r="F53" s="45"/>
      <c r="G53" s="45"/>
      <c r="K53" s="45"/>
      <c r="O53" s="45"/>
      <c r="S53" s="45"/>
      <c r="W53" s="45"/>
      <c r="AA53" s="45"/>
      <c r="AE53" s="45"/>
    </row>
  </sheetData>
  <mergeCells count="13">
    <mergeCell ref="W5:Z5"/>
    <mergeCell ref="S5:V5"/>
    <mergeCell ref="A2:B2"/>
    <mergeCell ref="A4:B4"/>
    <mergeCell ref="G5:J5"/>
    <mergeCell ref="C5:F5"/>
    <mergeCell ref="O5:R5"/>
    <mergeCell ref="K5:N5"/>
    <mergeCell ref="A49:B49"/>
    <mergeCell ref="A47:B47"/>
    <mergeCell ref="A45:B45"/>
    <mergeCell ref="A5:A6"/>
    <mergeCell ref="B5:B6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C56"/>
  <sheetViews>
    <sheetView zoomScale="70" zoomScaleNormal="70" workbookViewId="0">
      <pane xSplit="2" ySplit="8" topLeftCell="K10" activePane="bottomRight" state="frozen"/>
      <selection activeCell="AK39" sqref="AK39"/>
      <selection pane="topRight" activeCell="AK39" sqref="AK39"/>
      <selection pane="bottomLeft" activeCell="AK39" sqref="AK39"/>
      <selection pane="bottomRight" activeCell="AA28" sqref="AA28"/>
    </sheetView>
  </sheetViews>
  <sheetFormatPr defaultColWidth="11.44140625" defaultRowHeight="14.4" x14ac:dyDescent="0.3"/>
  <cols>
    <col min="1" max="1" width="10.33203125" style="26" customWidth="1"/>
    <col min="2" max="2" width="29.77734375" style="26" customWidth="1"/>
    <col min="3" max="3" width="13.6640625" style="26" bestFit="1" customWidth="1"/>
    <col min="4" max="4" width="14" style="26" bestFit="1" customWidth="1"/>
    <col min="5" max="5" width="15.77734375" style="26" bestFit="1" customWidth="1"/>
    <col min="6" max="6" width="16.109375" style="26" bestFit="1" customWidth="1"/>
    <col min="7" max="8" width="12.6640625" style="26" bestFit="1" customWidth="1"/>
    <col min="9" max="10" width="13.109375" style="26" bestFit="1" customWidth="1"/>
    <col min="11" max="12" width="12.6640625" style="26" bestFit="1" customWidth="1"/>
    <col min="13" max="14" width="13.109375" style="26" bestFit="1" customWidth="1"/>
    <col min="15" max="16" width="12.6640625" style="26" bestFit="1" customWidth="1"/>
    <col min="17" max="18" width="13.109375" style="26" bestFit="1" customWidth="1"/>
    <col min="19" max="20" width="12.6640625" style="26" bestFit="1" customWidth="1"/>
    <col min="21" max="22" width="13.109375" style="26" bestFit="1" customWidth="1"/>
    <col min="23" max="24" width="12.6640625" style="26" bestFit="1" customWidth="1"/>
    <col min="25" max="26" width="13.109375" style="26" bestFit="1" customWidth="1"/>
    <col min="27" max="27" width="16.88671875" style="26" bestFit="1" customWidth="1"/>
    <col min="28" max="28" width="12.6640625" style="26" bestFit="1" customWidth="1"/>
    <col min="29" max="30" width="13.109375" style="26" bestFit="1" customWidth="1"/>
    <col min="31" max="32" width="12.6640625" style="26" bestFit="1" customWidth="1"/>
    <col min="33" max="34" width="13.109375" style="26" bestFit="1" customWidth="1"/>
    <col min="35" max="55" width="13.33203125" style="26" customWidth="1"/>
    <col min="56" max="16384" width="11.44140625" style="26"/>
  </cols>
  <sheetData>
    <row r="1" spans="1:51" x14ac:dyDescent="0.3">
      <c r="A1" s="49" t="s">
        <v>69</v>
      </c>
      <c r="B1" s="49"/>
      <c r="C1" s="49"/>
      <c r="D1" s="49"/>
      <c r="E1" s="49"/>
    </row>
    <row r="2" spans="1:51" x14ac:dyDescent="0.3">
      <c r="A2" s="73" t="str">
        <f>'GST_Revenue-All_India'!A3</f>
        <v>Data upto : 31st Aug 2026</v>
      </c>
      <c r="B2" s="73"/>
      <c r="C2" s="73"/>
    </row>
    <row r="3" spans="1:51" ht="18" x14ac:dyDescent="0.35">
      <c r="C3" s="27" t="s">
        <v>0</v>
      </c>
      <c r="AI3" s="43"/>
      <c r="AM3" s="43"/>
      <c r="AQ3" s="43"/>
      <c r="AU3" s="43"/>
      <c r="AY3" s="43"/>
    </row>
    <row r="4" spans="1:51" x14ac:dyDescent="0.3">
      <c r="A4" s="74" t="s">
        <v>53</v>
      </c>
      <c r="B4" s="74"/>
      <c r="C4" s="74"/>
    </row>
    <row r="5" spans="1:51" x14ac:dyDescent="0.3">
      <c r="C5" s="27"/>
    </row>
    <row r="7" spans="1:51" x14ac:dyDescent="0.3">
      <c r="A7" s="72" t="s">
        <v>42</v>
      </c>
      <c r="B7" s="72" t="s">
        <v>1</v>
      </c>
      <c r="C7" s="75" t="str">
        <f>'GST_Revenue-All_India'!B7</f>
        <v>Financial Year (up to the Month - Aug 2026)</v>
      </c>
      <c r="D7" s="76"/>
      <c r="E7" s="76"/>
      <c r="F7" s="77"/>
      <c r="G7" s="55">
        <v>46113</v>
      </c>
      <c r="H7" s="56"/>
      <c r="I7" s="56"/>
      <c r="J7" s="57"/>
      <c r="K7" s="55">
        <v>46143</v>
      </c>
      <c r="L7" s="56"/>
      <c r="M7" s="56"/>
      <c r="N7" s="57"/>
      <c r="O7" s="55">
        <v>46174</v>
      </c>
      <c r="P7" s="56"/>
      <c r="Q7" s="56"/>
      <c r="R7" s="57"/>
      <c r="S7" s="55">
        <v>46204</v>
      </c>
      <c r="T7" s="56"/>
      <c r="U7" s="56"/>
      <c r="V7" s="57"/>
      <c r="W7" s="55">
        <v>46235</v>
      </c>
      <c r="X7" s="56"/>
      <c r="Y7" s="56"/>
      <c r="Z7" s="57"/>
    </row>
    <row r="8" spans="1:51" x14ac:dyDescent="0.3">
      <c r="A8" s="72"/>
      <c r="B8" s="72"/>
      <c r="C8" s="29" t="s">
        <v>2</v>
      </c>
      <c r="D8" s="29" t="s">
        <v>3</v>
      </c>
      <c r="E8" s="29" t="s">
        <v>4</v>
      </c>
      <c r="F8" s="29" t="s">
        <v>43</v>
      </c>
      <c r="G8" s="29" t="s">
        <v>2</v>
      </c>
      <c r="H8" s="29" t="s">
        <v>3</v>
      </c>
      <c r="I8" s="29" t="s">
        <v>4</v>
      </c>
      <c r="J8" s="29" t="s">
        <v>43</v>
      </c>
      <c r="K8" s="29" t="s">
        <v>2</v>
      </c>
      <c r="L8" s="29" t="s">
        <v>3</v>
      </c>
      <c r="M8" s="29" t="s">
        <v>4</v>
      </c>
      <c r="N8" s="29" t="s">
        <v>43</v>
      </c>
      <c r="O8" s="29" t="s">
        <v>2</v>
      </c>
      <c r="P8" s="29" t="s">
        <v>3</v>
      </c>
      <c r="Q8" s="29" t="s">
        <v>4</v>
      </c>
      <c r="R8" s="29" t="s">
        <v>43</v>
      </c>
      <c r="S8" s="29" t="s">
        <v>2</v>
      </c>
      <c r="T8" s="29" t="s">
        <v>3</v>
      </c>
      <c r="U8" s="29" t="s">
        <v>4</v>
      </c>
      <c r="V8" s="29" t="s">
        <v>43</v>
      </c>
      <c r="W8" s="29" t="s">
        <v>2</v>
      </c>
      <c r="X8" s="29" t="s">
        <v>3</v>
      </c>
      <c r="Y8" s="29" t="s">
        <v>4</v>
      </c>
      <c r="Z8" s="29" t="s">
        <v>43</v>
      </c>
    </row>
    <row r="9" spans="1:51" x14ac:dyDescent="0.3">
      <c r="A9" s="7">
        <v>1</v>
      </c>
      <c r="B9" s="31" t="s">
        <v>5</v>
      </c>
      <c r="C9" s="47">
        <f t="shared" ref="C9:C32" si="0">G9+K9+O9+S9+W9+AA9+AE9+AI9+AM9+AQ9+AU9+AY9</f>
        <v>42.93</v>
      </c>
      <c r="D9" s="47">
        <f t="shared" ref="D9:D32" si="1">H9+L9+P9+T9+X9+AB9+AF9+AJ9+AN9+AR9+AV9+AZ9</f>
        <v>43.58</v>
      </c>
      <c r="E9" s="47">
        <f t="shared" ref="E9:E32" si="2">I9+M9+Q9+U9+Y9+AC9+AG9+AK9+AO9+AS9+AW9+BA9</f>
        <v>100.97</v>
      </c>
      <c r="F9" s="47">
        <f t="shared" ref="F9:F32" si="3">J9+N9+R9+V9+Z9+AD9+AH9+AL9+AP9+AT9+AX9+BB9</f>
        <v>187.48000000000002</v>
      </c>
      <c r="G9" s="35">
        <v>6.18</v>
      </c>
      <c r="H9" s="35">
        <v>6.49</v>
      </c>
      <c r="I9" s="35">
        <v>17.670000000000002</v>
      </c>
      <c r="J9" s="35">
        <f t="shared" ref="J9:J32" si="4">SUM(G9:I9)</f>
        <v>30.340000000000003</v>
      </c>
      <c r="K9" s="35">
        <v>3.15</v>
      </c>
      <c r="L9" s="35">
        <v>3.02</v>
      </c>
      <c r="M9" s="35">
        <v>26.11</v>
      </c>
      <c r="N9" s="35">
        <f t="shared" ref="N9:N32" si="5">SUM(K9:M9)</f>
        <v>32.28</v>
      </c>
      <c r="O9" s="35">
        <v>16.989999999999998</v>
      </c>
      <c r="P9" s="35">
        <v>17.14</v>
      </c>
      <c r="Q9" s="35">
        <v>12.65</v>
      </c>
      <c r="R9" s="35">
        <f t="shared" ref="R9:R46" si="6">SUM(O9:Q9)</f>
        <v>46.779999999999994</v>
      </c>
      <c r="S9" s="35">
        <v>9.33</v>
      </c>
      <c r="T9" s="35">
        <v>9.4</v>
      </c>
      <c r="U9" s="35">
        <v>22.86</v>
      </c>
      <c r="V9" s="35">
        <f t="shared" ref="V9:V46" si="7">SUM(S9:U9)</f>
        <v>41.59</v>
      </c>
      <c r="W9" s="35">
        <v>7.28</v>
      </c>
      <c r="X9" s="35">
        <v>7.53</v>
      </c>
      <c r="Y9" s="35">
        <v>21.68</v>
      </c>
      <c r="Z9" s="35">
        <f t="shared" ref="Z9:Z32" si="8">SUM(W9:Y9)</f>
        <v>36.49</v>
      </c>
    </row>
    <row r="10" spans="1:51" x14ac:dyDescent="0.3">
      <c r="A10" s="7">
        <v>2</v>
      </c>
      <c r="B10" s="31" t="s">
        <v>6</v>
      </c>
      <c r="C10" s="47">
        <f t="shared" si="0"/>
        <v>221.51000000000002</v>
      </c>
      <c r="D10" s="47">
        <f t="shared" si="1"/>
        <v>289.99</v>
      </c>
      <c r="E10" s="47">
        <f t="shared" si="2"/>
        <v>1197.8900000000001</v>
      </c>
      <c r="F10" s="47">
        <f t="shared" si="3"/>
        <v>1709.3899999999999</v>
      </c>
      <c r="G10" s="35">
        <v>59.43</v>
      </c>
      <c r="H10" s="35">
        <v>73.39</v>
      </c>
      <c r="I10" s="35">
        <v>209.17</v>
      </c>
      <c r="J10" s="35">
        <f t="shared" si="4"/>
        <v>341.99</v>
      </c>
      <c r="K10" s="35">
        <v>51.97</v>
      </c>
      <c r="L10" s="35">
        <v>84.12</v>
      </c>
      <c r="M10" s="35">
        <v>227.19</v>
      </c>
      <c r="N10" s="35">
        <f t="shared" si="5"/>
        <v>363.28</v>
      </c>
      <c r="O10" s="35">
        <v>31.52</v>
      </c>
      <c r="P10" s="35">
        <v>38.51</v>
      </c>
      <c r="Q10" s="35">
        <v>153.47999999999999</v>
      </c>
      <c r="R10" s="35">
        <f t="shared" si="6"/>
        <v>223.51</v>
      </c>
      <c r="S10" s="35">
        <v>39.15</v>
      </c>
      <c r="T10" s="35">
        <v>49.31</v>
      </c>
      <c r="U10" s="35">
        <v>253.01</v>
      </c>
      <c r="V10" s="35">
        <f t="shared" si="7"/>
        <v>341.47</v>
      </c>
      <c r="W10" s="35">
        <v>39.44</v>
      </c>
      <c r="X10" s="35">
        <v>44.66</v>
      </c>
      <c r="Y10" s="35">
        <v>355.04</v>
      </c>
      <c r="Z10" s="35">
        <f t="shared" si="8"/>
        <v>439.14</v>
      </c>
    </row>
    <row r="11" spans="1:51" x14ac:dyDescent="0.3">
      <c r="A11" s="7">
        <v>3</v>
      </c>
      <c r="B11" s="31" t="s">
        <v>7</v>
      </c>
      <c r="C11" s="47">
        <f t="shared" si="0"/>
        <v>581.96999999999991</v>
      </c>
      <c r="D11" s="47">
        <f t="shared" si="1"/>
        <v>842.53</v>
      </c>
      <c r="E11" s="47">
        <f t="shared" si="2"/>
        <v>569.08000000000004</v>
      </c>
      <c r="F11" s="47">
        <f t="shared" si="3"/>
        <v>1993.58</v>
      </c>
      <c r="G11" s="35">
        <v>153.59</v>
      </c>
      <c r="H11" s="35">
        <v>208.94</v>
      </c>
      <c r="I11" s="35">
        <v>100.05</v>
      </c>
      <c r="J11" s="35">
        <f t="shared" si="4"/>
        <v>462.58</v>
      </c>
      <c r="K11" s="35">
        <v>107.65</v>
      </c>
      <c r="L11" s="35">
        <v>194.17</v>
      </c>
      <c r="M11" s="35">
        <v>173.31</v>
      </c>
      <c r="N11" s="35">
        <f t="shared" si="5"/>
        <v>475.13</v>
      </c>
      <c r="O11" s="35">
        <v>175.16</v>
      </c>
      <c r="P11" s="35">
        <v>237.98</v>
      </c>
      <c r="Q11" s="35">
        <v>147.55000000000001</v>
      </c>
      <c r="R11" s="35">
        <f t="shared" si="6"/>
        <v>560.69000000000005</v>
      </c>
      <c r="S11" s="35">
        <v>83.52</v>
      </c>
      <c r="T11" s="35">
        <v>124.15</v>
      </c>
      <c r="U11" s="35">
        <v>78.41</v>
      </c>
      <c r="V11" s="35">
        <f t="shared" si="7"/>
        <v>286.08000000000004</v>
      </c>
      <c r="W11" s="35">
        <v>62.05</v>
      </c>
      <c r="X11" s="35">
        <v>77.290000000000006</v>
      </c>
      <c r="Y11" s="35">
        <v>69.760000000000005</v>
      </c>
      <c r="Z11" s="35">
        <f t="shared" si="8"/>
        <v>209.10000000000002</v>
      </c>
    </row>
    <row r="12" spans="1:51" x14ac:dyDescent="0.3">
      <c r="A12" s="7">
        <v>4</v>
      </c>
      <c r="B12" s="31" t="s">
        <v>8</v>
      </c>
      <c r="C12" s="47">
        <f t="shared" si="0"/>
        <v>5.7099999999999991</v>
      </c>
      <c r="D12" s="47">
        <f t="shared" si="1"/>
        <v>6.5900000000000007</v>
      </c>
      <c r="E12" s="47">
        <f t="shared" si="2"/>
        <v>106.57</v>
      </c>
      <c r="F12" s="47">
        <f t="shared" si="3"/>
        <v>118.86999999999999</v>
      </c>
      <c r="G12" s="35">
        <v>0.22</v>
      </c>
      <c r="H12" s="35">
        <v>0.25</v>
      </c>
      <c r="I12" s="35">
        <v>4.95</v>
      </c>
      <c r="J12" s="35">
        <f t="shared" si="4"/>
        <v>5.42</v>
      </c>
      <c r="K12" s="35">
        <v>3.53</v>
      </c>
      <c r="L12" s="35">
        <v>3.76</v>
      </c>
      <c r="M12" s="35">
        <v>3.66</v>
      </c>
      <c r="N12" s="35">
        <f t="shared" si="5"/>
        <v>10.95</v>
      </c>
      <c r="O12" s="35">
        <v>0.64</v>
      </c>
      <c r="P12" s="35">
        <v>0.73</v>
      </c>
      <c r="Q12" s="35">
        <v>12.49</v>
      </c>
      <c r="R12" s="35">
        <f t="shared" si="6"/>
        <v>13.86</v>
      </c>
      <c r="S12" s="35">
        <v>0.81</v>
      </c>
      <c r="T12" s="35">
        <v>1.1100000000000001</v>
      </c>
      <c r="U12" s="35">
        <v>13.17</v>
      </c>
      <c r="V12" s="35">
        <f t="shared" si="7"/>
        <v>15.09</v>
      </c>
      <c r="W12" s="35">
        <v>0.51</v>
      </c>
      <c r="X12" s="35">
        <v>0.74</v>
      </c>
      <c r="Y12" s="35">
        <v>72.3</v>
      </c>
      <c r="Z12" s="35">
        <f t="shared" si="8"/>
        <v>73.55</v>
      </c>
    </row>
    <row r="13" spans="1:51" x14ac:dyDescent="0.3">
      <c r="A13" s="7">
        <v>5</v>
      </c>
      <c r="B13" s="31" t="s">
        <v>9</v>
      </c>
      <c r="C13" s="47">
        <f t="shared" si="0"/>
        <v>234.46999999999997</v>
      </c>
      <c r="D13" s="47">
        <f t="shared" si="1"/>
        <v>263.64</v>
      </c>
      <c r="E13" s="47">
        <f t="shared" si="2"/>
        <v>648.44000000000005</v>
      </c>
      <c r="F13" s="47">
        <f t="shared" si="3"/>
        <v>1146.5500000000002</v>
      </c>
      <c r="G13" s="35">
        <v>41.69</v>
      </c>
      <c r="H13" s="35">
        <v>55.83</v>
      </c>
      <c r="I13" s="35">
        <v>88.24</v>
      </c>
      <c r="J13" s="35">
        <f t="shared" si="4"/>
        <v>185.76</v>
      </c>
      <c r="K13" s="35">
        <v>67.75</v>
      </c>
      <c r="L13" s="35">
        <v>74.67</v>
      </c>
      <c r="M13" s="35">
        <v>116.79</v>
      </c>
      <c r="N13" s="35">
        <f t="shared" si="5"/>
        <v>259.21000000000004</v>
      </c>
      <c r="O13" s="35">
        <v>47.13</v>
      </c>
      <c r="P13" s="35">
        <v>51.95</v>
      </c>
      <c r="Q13" s="35">
        <v>138.81</v>
      </c>
      <c r="R13" s="35">
        <f t="shared" si="6"/>
        <v>237.89000000000001</v>
      </c>
      <c r="S13" s="35">
        <v>37.85</v>
      </c>
      <c r="T13" s="35">
        <v>41.13</v>
      </c>
      <c r="U13" s="35">
        <v>144.1</v>
      </c>
      <c r="V13" s="35">
        <f t="shared" si="7"/>
        <v>223.07999999999998</v>
      </c>
      <c r="W13" s="35">
        <v>40.049999999999997</v>
      </c>
      <c r="X13" s="35">
        <v>40.06</v>
      </c>
      <c r="Y13" s="35">
        <v>160.5</v>
      </c>
      <c r="Z13" s="35">
        <f t="shared" si="8"/>
        <v>240.61</v>
      </c>
    </row>
    <row r="14" spans="1:51" x14ac:dyDescent="0.3">
      <c r="A14" s="7">
        <v>6</v>
      </c>
      <c r="B14" s="31" t="s">
        <v>10</v>
      </c>
      <c r="C14" s="47">
        <f t="shared" si="0"/>
        <v>1155.06</v>
      </c>
      <c r="D14" s="47">
        <f t="shared" si="1"/>
        <v>1334.09</v>
      </c>
      <c r="E14" s="47">
        <f t="shared" si="2"/>
        <v>4380.79</v>
      </c>
      <c r="F14" s="47">
        <f t="shared" si="3"/>
        <v>6869.9400000000005</v>
      </c>
      <c r="G14" s="35">
        <v>285.05</v>
      </c>
      <c r="H14" s="35">
        <v>314.89999999999998</v>
      </c>
      <c r="I14" s="35">
        <v>438.39</v>
      </c>
      <c r="J14" s="35">
        <f t="shared" si="4"/>
        <v>1038.3400000000001</v>
      </c>
      <c r="K14" s="35">
        <v>253.6</v>
      </c>
      <c r="L14" s="35">
        <v>278.12</v>
      </c>
      <c r="M14" s="35">
        <v>1192.82</v>
      </c>
      <c r="N14" s="35">
        <f t="shared" si="5"/>
        <v>1724.54</v>
      </c>
      <c r="O14" s="35">
        <v>180.09</v>
      </c>
      <c r="P14" s="35">
        <v>221.23</v>
      </c>
      <c r="Q14" s="35">
        <v>585.12</v>
      </c>
      <c r="R14" s="35">
        <f t="shared" si="6"/>
        <v>986.44</v>
      </c>
      <c r="S14" s="35">
        <v>248.2</v>
      </c>
      <c r="T14" s="35">
        <v>300.51</v>
      </c>
      <c r="U14" s="35">
        <v>595.04999999999995</v>
      </c>
      <c r="V14" s="35">
        <f t="shared" si="7"/>
        <v>1143.76</v>
      </c>
      <c r="W14" s="35">
        <v>188.12</v>
      </c>
      <c r="X14" s="35">
        <v>219.33</v>
      </c>
      <c r="Y14" s="35">
        <v>1569.41</v>
      </c>
      <c r="Z14" s="35">
        <f t="shared" si="8"/>
        <v>1976.8600000000001</v>
      </c>
    </row>
    <row r="15" spans="1:51" x14ac:dyDescent="0.3">
      <c r="A15" s="7">
        <v>7</v>
      </c>
      <c r="B15" s="31" t="s">
        <v>11</v>
      </c>
      <c r="C15" s="47">
        <f t="shared" si="0"/>
        <v>405.35999999999996</v>
      </c>
      <c r="D15" s="47">
        <f t="shared" si="1"/>
        <v>514.51</v>
      </c>
      <c r="E15" s="47">
        <f t="shared" si="2"/>
        <v>497.50000000000006</v>
      </c>
      <c r="F15" s="47">
        <f t="shared" si="3"/>
        <v>1417.3700000000001</v>
      </c>
      <c r="G15" s="35">
        <v>46.32</v>
      </c>
      <c r="H15" s="35">
        <v>67.319999999999993</v>
      </c>
      <c r="I15" s="35">
        <v>73.53</v>
      </c>
      <c r="J15" s="35">
        <f t="shared" si="4"/>
        <v>187.17</v>
      </c>
      <c r="K15" s="35">
        <v>45.69</v>
      </c>
      <c r="L15" s="35">
        <v>58.1</v>
      </c>
      <c r="M15" s="35">
        <v>56.95</v>
      </c>
      <c r="N15" s="35">
        <f t="shared" si="5"/>
        <v>160.74</v>
      </c>
      <c r="O15" s="35">
        <v>142.16999999999999</v>
      </c>
      <c r="P15" s="35">
        <v>172.55</v>
      </c>
      <c r="Q15" s="35">
        <v>127.73</v>
      </c>
      <c r="R15" s="35">
        <f t="shared" si="6"/>
        <v>442.45000000000005</v>
      </c>
      <c r="S15" s="35">
        <v>102.04</v>
      </c>
      <c r="T15" s="35">
        <v>127.76</v>
      </c>
      <c r="U15" s="35">
        <v>139.75</v>
      </c>
      <c r="V15" s="35">
        <f t="shared" si="7"/>
        <v>369.55</v>
      </c>
      <c r="W15" s="35">
        <v>69.14</v>
      </c>
      <c r="X15" s="35">
        <v>88.78</v>
      </c>
      <c r="Y15" s="35">
        <v>99.54</v>
      </c>
      <c r="Z15" s="35">
        <f t="shared" si="8"/>
        <v>257.46000000000004</v>
      </c>
    </row>
    <row r="16" spans="1:51" x14ac:dyDescent="0.3">
      <c r="A16" s="7">
        <v>8</v>
      </c>
      <c r="B16" s="31" t="s">
        <v>12</v>
      </c>
      <c r="C16" s="47">
        <f t="shared" si="0"/>
        <v>507.62</v>
      </c>
      <c r="D16" s="47">
        <f t="shared" si="1"/>
        <v>592.58000000000004</v>
      </c>
      <c r="E16" s="47">
        <f t="shared" si="2"/>
        <v>855.42000000000007</v>
      </c>
      <c r="F16" s="47">
        <f t="shared" si="3"/>
        <v>1955.62</v>
      </c>
      <c r="G16" s="35">
        <v>110.09</v>
      </c>
      <c r="H16" s="35">
        <v>146.72999999999999</v>
      </c>
      <c r="I16" s="35">
        <v>149.63</v>
      </c>
      <c r="J16" s="35">
        <f t="shared" si="4"/>
        <v>406.45</v>
      </c>
      <c r="K16" s="35">
        <v>83.85</v>
      </c>
      <c r="L16" s="35">
        <v>92.26</v>
      </c>
      <c r="M16" s="35">
        <v>121.61</v>
      </c>
      <c r="N16" s="35">
        <f t="shared" si="5"/>
        <v>297.72000000000003</v>
      </c>
      <c r="O16" s="35">
        <v>112.24</v>
      </c>
      <c r="P16" s="35">
        <v>128.85</v>
      </c>
      <c r="Q16" s="35">
        <v>216.76</v>
      </c>
      <c r="R16" s="35">
        <f t="shared" si="6"/>
        <v>457.84999999999997</v>
      </c>
      <c r="S16" s="35">
        <v>103.85</v>
      </c>
      <c r="T16" s="35">
        <v>113.57</v>
      </c>
      <c r="U16" s="35">
        <v>230.59</v>
      </c>
      <c r="V16" s="35">
        <f t="shared" si="7"/>
        <v>448.01</v>
      </c>
      <c r="W16" s="35">
        <v>97.59</v>
      </c>
      <c r="X16" s="35">
        <v>111.17</v>
      </c>
      <c r="Y16" s="35">
        <v>136.83000000000001</v>
      </c>
      <c r="Z16" s="35">
        <f t="shared" si="8"/>
        <v>345.59000000000003</v>
      </c>
    </row>
    <row r="17" spans="1:26" x14ac:dyDescent="0.3">
      <c r="A17" s="7">
        <v>9</v>
      </c>
      <c r="B17" s="31" t="s">
        <v>13</v>
      </c>
      <c r="C17" s="47">
        <f t="shared" si="0"/>
        <v>1187.96</v>
      </c>
      <c r="D17" s="47">
        <f t="shared" si="1"/>
        <v>1320.69</v>
      </c>
      <c r="E17" s="47">
        <f t="shared" si="2"/>
        <v>2438.29</v>
      </c>
      <c r="F17" s="47">
        <f t="shared" si="3"/>
        <v>4946.9400000000005</v>
      </c>
      <c r="G17" s="35">
        <v>271.49</v>
      </c>
      <c r="H17" s="35">
        <v>303.63</v>
      </c>
      <c r="I17" s="35">
        <v>399.31</v>
      </c>
      <c r="J17" s="35">
        <f t="shared" si="4"/>
        <v>974.43000000000006</v>
      </c>
      <c r="K17" s="35">
        <v>222.76</v>
      </c>
      <c r="L17" s="35">
        <v>250.36</v>
      </c>
      <c r="M17" s="35">
        <v>386.66</v>
      </c>
      <c r="N17" s="35">
        <f t="shared" si="5"/>
        <v>859.78</v>
      </c>
      <c r="O17" s="35">
        <v>219.82</v>
      </c>
      <c r="P17" s="35">
        <v>240.17</v>
      </c>
      <c r="Q17" s="35">
        <v>405.39</v>
      </c>
      <c r="R17" s="35">
        <f t="shared" si="6"/>
        <v>865.38</v>
      </c>
      <c r="S17" s="35">
        <v>227.99</v>
      </c>
      <c r="T17" s="35">
        <v>254.54</v>
      </c>
      <c r="U17" s="35">
        <v>513.20000000000005</v>
      </c>
      <c r="V17" s="35">
        <f t="shared" si="7"/>
        <v>995.73</v>
      </c>
      <c r="W17" s="35">
        <v>245.9</v>
      </c>
      <c r="X17" s="35">
        <v>271.99</v>
      </c>
      <c r="Y17" s="35">
        <v>733.73</v>
      </c>
      <c r="Z17" s="35">
        <f t="shared" si="8"/>
        <v>1251.6199999999999</v>
      </c>
    </row>
    <row r="18" spans="1:26" x14ac:dyDescent="0.3">
      <c r="A18" s="7">
        <v>10</v>
      </c>
      <c r="B18" s="31" t="s">
        <v>14</v>
      </c>
      <c r="C18" s="47">
        <f t="shared" si="0"/>
        <v>23.22</v>
      </c>
      <c r="D18" s="47">
        <f t="shared" si="1"/>
        <v>23.110000000000003</v>
      </c>
      <c r="E18" s="47">
        <f t="shared" si="2"/>
        <v>50.35</v>
      </c>
      <c r="F18" s="47">
        <f t="shared" si="3"/>
        <v>96.68</v>
      </c>
      <c r="G18" s="35">
        <v>4.01</v>
      </c>
      <c r="H18" s="35">
        <v>4.1900000000000004</v>
      </c>
      <c r="I18" s="35">
        <v>8.91</v>
      </c>
      <c r="J18" s="35">
        <f t="shared" si="4"/>
        <v>17.11</v>
      </c>
      <c r="K18" s="35">
        <v>2.73</v>
      </c>
      <c r="L18" s="35">
        <v>2.72</v>
      </c>
      <c r="M18" s="35">
        <v>9.15</v>
      </c>
      <c r="N18" s="35">
        <f t="shared" si="5"/>
        <v>14.600000000000001</v>
      </c>
      <c r="O18" s="35">
        <v>6.87</v>
      </c>
      <c r="P18" s="35">
        <v>6.8</v>
      </c>
      <c r="Q18" s="35">
        <v>11.57</v>
      </c>
      <c r="R18" s="35">
        <f t="shared" si="6"/>
        <v>25.240000000000002</v>
      </c>
      <c r="S18" s="35">
        <v>4.53</v>
      </c>
      <c r="T18" s="35">
        <v>4.74</v>
      </c>
      <c r="U18" s="35">
        <v>13.37</v>
      </c>
      <c r="V18" s="35">
        <f t="shared" si="7"/>
        <v>22.64</v>
      </c>
      <c r="W18" s="35">
        <v>5.08</v>
      </c>
      <c r="X18" s="35">
        <v>4.66</v>
      </c>
      <c r="Y18" s="35">
        <v>7.35</v>
      </c>
      <c r="Z18" s="35">
        <f t="shared" si="8"/>
        <v>17.09</v>
      </c>
    </row>
    <row r="19" spans="1:26" x14ac:dyDescent="0.3">
      <c r="A19" s="7">
        <v>11</v>
      </c>
      <c r="B19" s="31" t="s">
        <v>15</v>
      </c>
      <c r="C19" s="47">
        <f t="shared" si="0"/>
        <v>3.9</v>
      </c>
      <c r="D19" s="47">
        <f t="shared" si="1"/>
        <v>5.05</v>
      </c>
      <c r="E19" s="47">
        <f t="shared" si="2"/>
        <v>6.4499999999999993</v>
      </c>
      <c r="F19" s="47">
        <f t="shared" si="3"/>
        <v>15.4</v>
      </c>
      <c r="G19" s="35">
        <v>0.5</v>
      </c>
      <c r="H19" s="35">
        <v>0.7</v>
      </c>
      <c r="I19" s="35">
        <v>0.3</v>
      </c>
      <c r="J19" s="35">
        <f t="shared" si="4"/>
        <v>1.5</v>
      </c>
      <c r="K19" s="35">
        <v>0.54</v>
      </c>
      <c r="L19" s="35">
        <v>0.75</v>
      </c>
      <c r="M19" s="35">
        <v>0.19</v>
      </c>
      <c r="N19" s="35">
        <f t="shared" si="5"/>
        <v>1.48</v>
      </c>
      <c r="O19" s="35">
        <v>0.03</v>
      </c>
      <c r="P19" s="35">
        <v>0.64</v>
      </c>
      <c r="Q19" s="35">
        <v>1.02</v>
      </c>
      <c r="R19" s="35">
        <f t="shared" si="6"/>
        <v>1.69</v>
      </c>
      <c r="S19" s="35">
        <v>0.91</v>
      </c>
      <c r="T19" s="35">
        <v>0.91</v>
      </c>
      <c r="U19" s="35">
        <v>3.42</v>
      </c>
      <c r="V19" s="35">
        <f t="shared" si="7"/>
        <v>5.24</v>
      </c>
      <c r="W19" s="35">
        <v>1.92</v>
      </c>
      <c r="X19" s="35">
        <v>2.0499999999999998</v>
      </c>
      <c r="Y19" s="35">
        <v>1.52</v>
      </c>
      <c r="Z19" s="35">
        <f t="shared" si="8"/>
        <v>5.49</v>
      </c>
    </row>
    <row r="20" spans="1:26" x14ac:dyDescent="0.3">
      <c r="A20" s="7">
        <v>12</v>
      </c>
      <c r="B20" s="31" t="s">
        <v>16</v>
      </c>
      <c r="C20" s="47">
        <f t="shared" si="0"/>
        <v>1.72</v>
      </c>
      <c r="D20" s="47">
        <f t="shared" si="1"/>
        <v>1.71</v>
      </c>
      <c r="E20" s="47">
        <f t="shared" si="2"/>
        <v>1.3499999999999999</v>
      </c>
      <c r="F20" s="47">
        <f t="shared" si="3"/>
        <v>4.7799999999999994</v>
      </c>
      <c r="G20" s="35">
        <v>0</v>
      </c>
      <c r="H20" s="35">
        <v>0</v>
      </c>
      <c r="I20" s="35">
        <v>0.34</v>
      </c>
      <c r="J20" s="35">
        <f t="shared" si="4"/>
        <v>0.34</v>
      </c>
      <c r="K20" s="35">
        <v>0.03</v>
      </c>
      <c r="L20" s="35">
        <v>0.03</v>
      </c>
      <c r="M20" s="35">
        <v>0.56999999999999995</v>
      </c>
      <c r="N20" s="35">
        <f t="shared" si="5"/>
        <v>0.62999999999999989</v>
      </c>
      <c r="O20" s="35">
        <v>0.02</v>
      </c>
      <c r="P20" s="35">
        <v>0.02</v>
      </c>
      <c r="Q20" s="35">
        <v>0.15</v>
      </c>
      <c r="R20" s="35">
        <f t="shared" si="6"/>
        <v>0.19</v>
      </c>
      <c r="S20" s="35">
        <v>0.83</v>
      </c>
      <c r="T20" s="35">
        <v>0.87</v>
      </c>
      <c r="U20" s="35">
        <v>0.28999999999999998</v>
      </c>
      <c r="V20" s="35">
        <f t="shared" si="7"/>
        <v>1.99</v>
      </c>
      <c r="W20" s="35">
        <v>0.84</v>
      </c>
      <c r="X20" s="35">
        <v>0.79</v>
      </c>
      <c r="Y20" s="35">
        <v>0</v>
      </c>
      <c r="Z20" s="35">
        <f t="shared" si="8"/>
        <v>1.63</v>
      </c>
    </row>
    <row r="21" spans="1:26" x14ac:dyDescent="0.3">
      <c r="A21" s="7">
        <v>13</v>
      </c>
      <c r="B21" s="31" t="s">
        <v>17</v>
      </c>
      <c r="C21" s="47">
        <f t="shared" si="0"/>
        <v>2.87</v>
      </c>
      <c r="D21" s="47">
        <f t="shared" si="1"/>
        <v>2.87</v>
      </c>
      <c r="E21" s="47">
        <f t="shared" si="2"/>
        <v>4.9899999999999993</v>
      </c>
      <c r="F21" s="47">
        <f t="shared" si="3"/>
        <v>10.729999999999999</v>
      </c>
      <c r="G21" s="35">
        <v>0.17</v>
      </c>
      <c r="H21" s="35">
        <v>0.2</v>
      </c>
      <c r="I21" s="35">
        <v>0</v>
      </c>
      <c r="J21" s="35">
        <f t="shared" si="4"/>
        <v>0.37</v>
      </c>
      <c r="K21" s="35">
        <v>0.53</v>
      </c>
      <c r="L21" s="35">
        <v>0.5</v>
      </c>
      <c r="M21" s="35">
        <v>0.02</v>
      </c>
      <c r="N21" s="35">
        <f t="shared" si="5"/>
        <v>1.05</v>
      </c>
      <c r="O21" s="35">
        <v>0.5</v>
      </c>
      <c r="P21" s="35">
        <v>0.5</v>
      </c>
      <c r="Q21" s="35">
        <v>4.09</v>
      </c>
      <c r="R21" s="35">
        <f t="shared" si="6"/>
        <v>5.09</v>
      </c>
      <c r="S21" s="35">
        <v>1.5</v>
      </c>
      <c r="T21" s="35">
        <v>1.5</v>
      </c>
      <c r="U21" s="35">
        <v>0.87</v>
      </c>
      <c r="V21" s="35">
        <f t="shared" si="7"/>
        <v>3.87</v>
      </c>
      <c r="W21" s="35">
        <v>0.17</v>
      </c>
      <c r="X21" s="35">
        <v>0.17</v>
      </c>
      <c r="Y21" s="35">
        <v>0.01</v>
      </c>
      <c r="Z21" s="35">
        <f t="shared" si="8"/>
        <v>0.35000000000000003</v>
      </c>
    </row>
    <row r="22" spans="1:26" x14ac:dyDescent="0.3">
      <c r="A22" s="7">
        <v>14</v>
      </c>
      <c r="B22" s="31" t="s">
        <v>18</v>
      </c>
      <c r="C22" s="47">
        <f t="shared" si="0"/>
        <v>7.370000000000001</v>
      </c>
      <c r="D22" s="47">
        <f t="shared" si="1"/>
        <v>8.35</v>
      </c>
      <c r="E22" s="47">
        <f t="shared" si="2"/>
        <v>2.8400000000000003</v>
      </c>
      <c r="F22" s="47">
        <f t="shared" si="3"/>
        <v>18.559999999999999</v>
      </c>
      <c r="G22" s="35">
        <v>0.61</v>
      </c>
      <c r="H22" s="35">
        <v>0.61</v>
      </c>
      <c r="I22" s="35">
        <v>2.1</v>
      </c>
      <c r="J22" s="35">
        <f t="shared" si="4"/>
        <v>3.3200000000000003</v>
      </c>
      <c r="K22" s="35">
        <v>0.2</v>
      </c>
      <c r="L22" s="35">
        <v>1.02</v>
      </c>
      <c r="M22" s="35">
        <v>0</v>
      </c>
      <c r="N22" s="35">
        <f t="shared" si="5"/>
        <v>1.22</v>
      </c>
      <c r="O22" s="35">
        <v>2.11</v>
      </c>
      <c r="P22" s="35">
        <v>2.11</v>
      </c>
      <c r="Q22" s="35">
        <v>0.35</v>
      </c>
      <c r="R22" s="35">
        <f t="shared" si="6"/>
        <v>4.5699999999999994</v>
      </c>
      <c r="S22" s="35">
        <v>2.06</v>
      </c>
      <c r="T22" s="35">
        <v>2.12</v>
      </c>
      <c r="U22" s="35">
        <v>0</v>
      </c>
      <c r="V22" s="35">
        <f t="shared" si="7"/>
        <v>4.18</v>
      </c>
      <c r="W22" s="35">
        <v>2.39</v>
      </c>
      <c r="X22" s="35">
        <v>2.4900000000000002</v>
      </c>
      <c r="Y22" s="35">
        <v>0.39</v>
      </c>
      <c r="Z22" s="35">
        <f t="shared" si="8"/>
        <v>5.2700000000000005</v>
      </c>
    </row>
    <row r="23" spans="1:26" x14ac:dyDescent="0.3">
      <c r="A23" s="7">
        <v>15</v>
      </c>
      <c r="B23" s="31" t="s">
        <v>19</v>
      </c>
      <c r="C23" s="47">
        <f t="shared" si="0"/>
        <v>2.0399999999999996</v>
      </c>
      <c r="D23" s="47">
        <f t="shared" si="1"/>
        <v>2.0399999999999996</v>
      </c>
      <c r="E23" s="47">
        <f t="shared" si="2"/>
        <v>0</v>
      </c>
      <c r="F23" s="47">
        <f t="shared" si="3"/>
        <v>4.0799999999999992</v>
      </c>
      <c r="G23" s="35">
        <v>0</v>
      </c>
      <c r="H23" s="35">
        <v>0</v>
      </c>
      <c r="I23" s="35">
        <v>0</v>
      </c>
      <c r="J23" s="35">
        <f t="shared" si="4"/>
        <v>0</v>
      </c>
      <c r="K23" s="35">
        <v>2.02</v>
      </c>
      <c r="L23" s="35">
        <v>2.02</v>
      </c>
      <c r="M23" s="35">
        <v>0</v>
      </c>
      <c r="N23" s="35">
        <f t="shared" si="5"/>
        <v>4.04</v>
      </c>
      <c r="O23" s="35">
        <v>0.01</v>
      </c>
      <c r="P23" s="35">
        <v>0.01</v>
      </c>
      <c r="Q23" s="35">
        <v>0</v>
      </c>
      <c r="R23" s="35">
        <f t="shared" si="6"/>
        <v>0.02</v>
      </c>
      <c r="S23" s="35">
        <v>0</v>
      </c>
      <c r="T23" s="35">
        <v>0</v>
      </c>
      <c r="U23" s="35">
        <v>0</v>
      </c>
      <c r="V23" s="35">
        <f t="shared" si="7"/>
        <v>0</v>
      </c>
      <c r="W23" s="35">
        <v>0.01</v>
      </c>
      <c r="X23" s="35">
        <v>0.01</v>
      </c>
      <c r="Y23" s="35">
        <v>0</v>
      </c>
      <c r="Z23" s="35">
        <f t="shared" si="8"/>
        <v>0.02</v>
      </c>
    </row>
    <row r="24" spans="1:26" x14ac:dyDescent="0.3">
      <c r="A24" s="7">
        <v>16</v>
      </c>
      <c r="B24" s="31" t="s">
        <v>20</v>
      </c>
      <c r="C24" s="47">
        <f t="shared" si="0"/>
        <v>1.03</v>
      </c>
      <c r="D24" s="47">
        <f t="shared" si="1"/>
        <v>1.51</v>
      </c>
      <c r="E24" s="47">
        <f t="shared" si="2"/>
        <v>1.19</v>
      </c>
      <c r="F24" s="47">
        <f t="shared" si="3"/>
        <v>3.73</v>
      </c>
      <c r="G24" s="35">
        <v>0.06</v>
      </c>
      <c r="H24" s="35">
        <v>0.05</v>
      </c>
      <c r="I24" s="35">
        <v>0.06</v>
      </c>
      <c r="J24" s="35">
        <f t="shared" si="4"/>
        <v>0.16999999999999998</v>
      </c>
      <c r="K24" s="35">
        <v>0.63</v>
      </c>
      <c r="L24" s="35">
        <v>1.1399999999999999</v>
      </c>
      <c r="M24" s="35">
        <v>0.1</v>
      </c>
      <c r="N24" s="35">
        <f t="shared" si="5"/>
        <v>1.87</v>
      </c>
      <c r="O24" s="35">
        <v>0.04</v>
      </c>
      <c r="P24" s="35">
        <v>0.04</v>
      </c>
      <c r="Q24" s="35">
        <v>0</v>
      </c>
      <c r="R24" s="35">
        <f t="shared" si="6"/>
        <v>0.08</v>
      </c>
      <c r="S24" s="35">
        <v>0.21</v>
      </c>
      <c r="T24" s="35">
        <v>0.19</v>
      </c>
      <c r="U24" s="35">
        <v>0</v>
      </c>
      <c r="V24" s="35">
        <f t="shared" si="7"/>
        <v>0.4</v>
      </c>
      <c r="W24" s="35">
        <v>0.09</v>
      </c>
      <c r="X24" s="35">
        <v>0.09</v>
      </c>
      <c r="Y24" s="35">
        <v>1.03</v>
      </c>
      <c r="Z24" s="35">
        <f t="shared" si="8"/>
        <v>1.21</v>
      </c>
    </row>
    <row r="25" spans="1:26" x14ac:dyDescent="0.3">
      <c r="A25" s="7">
        <v>17</v>
      </c>
      <c r="B25" s="31" t="s">
        <v>21</v>
      </c>
      <c r="C25" s="47">
        <f t="shared" si="0"/>
        <v>4.3599999999999994</v>
      </c>
      <c r="D25" s="47">
        <f t="shared" si="1"/>
        <v>4.68</v>
      </c>
      <c r="E25" s="47">
        <f t="shared" si="2"/>
        <v>18.36</v>
      </c>
      <c r="F25" s="47">
        <f t="shared" si="3"/>
        <v>27.4</v>
      </c>
      <c r="G25" s="35">
        <v>0.89</v>
      </c>
      <c r="H25" s="35">
        <v>0.69</v>
      </c>
      <c r="I25" s="35">
        <v>0.03</v>
      </c>
      <c r="J25" s="35">
        <f t="shared" si="4"/>
        <v>1.61</v>
      </c>
      <c r="K25" s="35">
        <v>1.2</v>
      </c>
      <c r="L25" s="35">
        <v>1.52</v>
      </c>
      <c r="M25" s="35">
        <v>7.06</v>
      </c>
      <c r="N25" s="35">
        <f t="shared" si="5"/>
        <v>9.7799999999999994</v>
      </c>
      <c r="O25" s="35">
        <v>0.37</v>
      </c>
      <c r="P25" s="35">
        <v>0.4</v>
      </c>
      <c r="Q25" s="35">
        <v>0.34</v>
      </c>
      <c r="R25" s="35">
        <f t="shared" si="6"/>
        <v>1.1100000000000001</v>
      </c>
      <c r="S25" s="35">
        <v>1.81</v>
      </c>
      <c r="T25" s="35">
        <v>1.99</v>
      </c>
      <c r="U25" s="35">
        <v>7.7</v>
      </c>
      <c r="V25" s="35">
        <f t="shared" si="7"/>
        <v>11.5</v>
      </c>
      <c r="W25" s="35">
        <v>0.09</v>
      </c>
      <c r="X25" s="35">
        <v>0.08</v>
      </c>
      <c r="Y25" s="35">
        <v>3.23</v>
      </c>
      <c r="Z25" s="35">
        <f t="shared" si="8"/>
        <v>3.4</v>
      </c>
    </row>
    <row r="26" spans="1:26" x14ac:dyDescent="0.3">
      <c r="A26" s="7">
        <v>18</v>
      </c>
      <c r="B26" s="31" t="s">
        <v>22</v>
      </c>
      <c r="C26" s="47">
        <f t="shared" si="0"/>
        <v>65.11</v>
      </c>
      <c r="D26" s="47">
        <f t="shared" si="1"/>
        <v>69.12</v>
      </c>
      <c r="E26" s="47">
        <f t="shared" si="2"/>
        <v>89.52000000000001</v>
      </c>
      <c r="F26" s="47">
        <f t="shared" si="3"/>
        <v>223.74999999999997</v>
      </c>
      <c r="G26" s="35">
        <v>12.64</v>
      </c>
      <c r="H26" s="35">
        <v>14.8</v>
      </c>
      <c r="I26" s="35">
        <v>23.04</v>
      </c>
      <c r="J26" s="35">
        <f t="shared" si="4"/>
        <v>50.480000000000004</v>
      </c>
      <c r="K26" s="35">
        <v>14.1</v>
      </c>
      <c r="L26" s="35">
        <v>14.37</v>
      </c>
      <c r="M26" s="35">
        <v>22.02</v>
      </c>
      <c r="N26" s="35">
        <f t="shared" si="5"/>
        <v>50.489999999999995</v>
      </c>
      <c r="O26" s="35">
        <v>10.09</v>
      </c>
      <c r="P26" s="35">
        <v>11.28</v>
      </c>
      <c r="Q26" s="35">
        <v>7.67</v>
      </c>
      <c r="R26" s="35">
        <f t="shared" si="6"/>
        <v>29.04</v>
      </c>
      <c r="S26" s="35">
        <v>15.88</v>
      </c>
      <c r="T26" s="35">
        <v>16.329999999999998</v>
      </c>
      <c r="U26" s="35">
        <v>26.62</v>
      </c>
      <c r="V26" s="35">
        <f t="shared" si="7"/>
        <v>58.83</v>
      </c>
      <c r="W26" s="35">
        <v>12.4</v>
      </c>
      <c r="X26" s="35">
        <v>12.34</v>
      </c>
      <c r="Y26" s="35">
        <v>10.17</v>
      </c>
      <c r="Z26" s="35">
        <f t="shared" si="8"/>
        <v>34.910000000000004</v>
      </c>
    </row>
    <row r="27" spans="1:26" x14ac:dyDescent="0.3">
      <c r="A27" s="7">
        <v>19</v>
      </c>
      <c r="B27" s="31" t="s">
        <v>23</v>
      </c>
      <c r="C27" s="47">
        <f t="shared" si="0"/>
        <v>562.41</v>
      </c>
      <c r="D27" s="47">
        <f t="shared" si="1"/>
        <v>638.58000000000004</v>
      </c>
      <c r="E27" s="47">
        <f t="shared" si="2"/>
        <v>769.92</v>
      </c>
      <c r="F27" s="47">
        <f t="shared" si="3"/>
        <v>1970.9099999999999</v>
      </c>
      <c r="G27" s="35">
        <v>95.81</v>
      </c>
      <c r="H27" s="35">
        <v>110.23</v>
      </c>
      <c r="I27" s="35">
        <v>172.22</v>
      </c>
      <c r="J27" s="35">
        <f t="shared" si="4"/>
        <v>378.26</v>
      </c>
      <c r="K27" s="35">
        <v>94.92</v>
      </c>
      <c r="L27" s="35">
        <v>120.19</v>
      </c>
      <c r="M27" s="35">
        <v>125.42</v>
      </c>
      <c r="N27" s="35">
        <f t="shared" si="5"/>
        <v>340.53000000000003</v>
      </c>
      <c r="O27" s="35">
        <v>138.80000000000001</v>
      </c>
      <c r="P27" s="35">
        <v>144.82</v>
      </c>
      <c r="Q27" s="35">
        <v>116.41</v>
      </c>
      <c r="R27" s="35">
        <f t="shared" si="6"/>
        <v>400.03</v>
      </c>
      <c r="S27" s="35">
        <v>122.97</v>
      </c>
      <c r="T27" s="35">
        <v>138.75</v>
      </c>
      <c r="U27" s="35">
        <v>216.6</v>
      </c>
      <c r="V27" s="35">
        <f t="shared" si="7"/>
        <v>478.32000000000005</v>
      </c>
      <c r="W27" s="35">
        <v>109.91</v>
      </c>
      <c r="X27" s="35">
        <v>124.59</v>
      </c>
      <c r="Y27" s="35">
        <v>139.27000000000001</v>
      </c>
      <c r="Z27" s="35">
        <f t="shared" si="8"/>
        <v>373.77</v>
      </c>
    </row>
    <row r="28" spans="1:26" x14ac:dyDescent="0.3">
      <c r="A28" s="7">
        <v>20</v>
      </c>
      <c r="B28" s="31" t="s">
        <v>24</v>
      </c>
      <c r="C28" s="47">
        <f t="shared" si="0"/>
        <v>59.390000000000008</v>
      </c>
      <c r="D28" s="47">
        <f t="shared" si="1"/>
        <v>78.39</v>
      </c>
      <c r="E28" s="47">
        <f t="shared" si="2"/>
        <v>116.15</v>
      </c>
      <c r="F28" s="47">
        <f t="shared" si="3"/>
        <v>253.92999999999998</v>
      </c>
      <c r="G28" s="35">
        <v>6.84</v>
      </c>
      <c r="H28" s="35">
        <v>9.7899999999999991</v>
      </c>
      <c r="I28" s="35">
        <v>5.53</v>
      </c>
      <c r="J28" s="35">
        <f t="shared" si="4"/>
        <v>22.16</v>
      </c>
      <c r="K28" s="35">
        <v>14.33</v>
      </c>
      <c r="L28" s="35">
        <v>21.5</v>
      </c>
      <c r="M28" s="35">
        <v>68.56</v>
      </c>
      <c r="N28" s="35">
        <f t="shared" si="5"/>
        <v>104.39</v>
      </c>
      <c r="O28" s="35">
        <v>10.96</v>
      </c>
      <c r="P28" s="35">
        <v>12.4</v>
      </c>
      <c r="Q28" s="35">
        <v>5.78</v>
      </c>
      <c r="R28" s="35">
        <f t="shared" si="6"/>
        <v>29.14</v>
      </c>
      <c r="S28" s="35">
        <v>8.91</v>
      </c>
      <c r="T28" s="35">
        <v>16.72</v>
      </c>
      <c r="U28" s="35">
        <v>23.63</v>
      </c>
      <c r="V28" s="35">
        <f t="shared" si="7"/>
        <v>49.26</v>
      </c>
      <c r="W28" s="35">
        <v>18.350000000000001</v>
      </c>
      <c r="X28" s="35">
        <v>17.98</v>
      </c>
      <c r="Y28" s="35">
        <v>12.65</v>
      </c>
      <c r="Z28" s="35">
        <f t="shared" si="8"/>
        <v>48.98</v>
      </c>
    </row>
    <row r="29" spans="1:26" x14ac:dyDescent="0.3">
      <c r="A29" s="7">
        <v>21</v>
      </c>
      <c r="B29" s="31" t="s">
        <v>25</v>
      </c>
      <c r="C29" s="47">
        <f t="shared" si="0"/>
        <v>437.60999999999996</v>
      </c>
      <c r="D29" s="47">
        <f t="shared" si="1"/>
        <v>478.87</v>
      </c>
      <c r="E29" s="47">
        <f t="shared" si="2"/>
        <v>662.54000000000008</v>
      </c>
      <c r="F29" s="47">
        <f t="shared" si="3"/>
        <v>1579.02</v>
      </c>
      <c r="G29" s="35">
        <v>79.36</v>
      </c>
      <c r="H29" s="35">
        <v>87.24</v>
      </c>
      <c r="I29" s="35">
        <v>64.010000000000005</v>
      </c>
      <c r="J29" s="35">
        <f t="shared" si="4"/>
        <v>230.61</v>
      </c>
      <c r="K29" s="35">
        <v>84.97</v>
      </c>
      <c r="L29" s="35">
        <v>89</v>
      </c>
      <c r="M29" s="35">
        <v>73.84</v>
      </c>
      <c r="N29" s="35">
        <f t="shared" si="5"/>
        <v>247.81</v>
      </c>
      <c r="O29" s="35">
        <v>160.96</v>
      </c>
      <c r="P29" s="35">
        <v>163.47</v>
      </c>
      <c r="Q29" s="35">
        <v>262.92</v>
      </c>
      <c r="R29" s="35">
        <f t="shared" si="6"/>
        <v>587.35</v>
      </c>
      <c r="S29" s="35">
        <v>52.32</v>
      </c>
      <c r="T29" s="35">
        <v>78.52</v>
      </c>
      <c r="U29" s="35">
        <v>155.11000000000001</v>
      </c>
      <c r="V29" s="35">
        <f t="shared" si="7"/>
        <v>285.95000000000005</v>
      </c>
      <c r="W29" s="35">
        <v>60</v>
      </c>
      <c r="X29" s="35">
        <v>60.64</v>
      </c>
      <c r="Y29" s="35">
        <v>106.66</v>
      </c>
      <c r="Z29" s="35">
        <f t="shared" si="8"/>
        <v>227.3</v>
      </c>
    </row>
    <row r="30" spans="1:26" x14ac:dyDescent="0.3">
      <c r="A30" s="7">
        <v>22</v>
      </c>
      <c r="B30" s="31" t="s">
        <v>38</v>
      </c>
      <c r="C30" s="47">
        <f t="shared" si="0"/>
        <v>109.64999999999999</v>
      </c>
      <c r="D30" s="47">
        <f t="shared" si="1"/>
        <v>109.87</v>
      </c>
      <c r="E30" s="47">
        <f t="shared" si="2"/>
        <v>102.04999999999998</v>
      </c>
      <c r="F30" s="47">
        <f t="shared" si="3"/>
        <v>321.57000000000005</v>
      </c>
      <c r="G30" s="35">
        <v>26.59</v>
      </c>
      <c r="H30" s="35">
        <v>22.44</v>
      </c>
      <c r="I30" s="35">
        <v>16.149999999999999</v>
      </c>
      <c r="J30" s="35">
        <f t="shared" si="4"/>
        <v>65.180000000000007</v>
      </c>
      <c r="K30" s="35">
        <v>15.06</v>
      </c>
      <c r="L30" s="35">
        <v>16.91</v>
      </c>
      <c r="M30" s="35">
        <v>10.86</v>
      </c>
      <c r="N30" s="35">
        <f t="shared" si="5"/>
        <v>42.83</v>
      </c>
      <c r="O30" s="35">
        <v>17.22</v>
      </c>
      <c r="P30" s="35">
        <v>18.010000000000002</v>
      </c>
      <c r="Q30" s="35">
        <v>23.11</v>
      </c>
      <c r="R30" s="35">
        <f t="shared" si="6"/>
        <v>58.34</v>
      </c>
      <c r="S30" s="35">
        <v>25.89</v>
      </c>
      <c r="T30" s="35">
        <v>26.32</v>
      </c>
      <c r="U30" s="35">
        <v>19.61</v>
      </c>
      <c r="V30" s="35">
        <f t="shared" si="7"/>
        <v>71.819999999999993</v>
      </c>
      <c r="W30" s="35">
        <v>24.89</v>
      </c>
      <c r="X30" s="35">
        <v>26.19</v>
      </c>
      <c r="Y30" s="35">
        <v>32.32</v>
      </c>
      <c r="Z30" s="35">
        <f t="shared" si="8"/>
        <v>83.4</v>
      </c>
    </row>
    <row r="31" spans="1:26" x14ac:dyDescent="0.3">
      <c r="A31" s="7">
        <v>23</v>
      </c>
      <c r="B31" s="31" t="s">
        <v>26</v>
      </c>
      <c r="C31" s="47">
        <f t="shared" si="0"/>
        <v>418.97</v>
      </c>
      <c r="D31" s="47">
        <f t="shared" si="1"/>
        <v>465.28999999999996</v>
      </c>
      <c r="E31" s="47">
        <f t="shared" si="2"/>
        <v>774.9</v>
      </c>
      <c r="F31" s="47">
        <f t="shared" si="3"/>
        <v>1659.1599999999999</v>
      </c>
      <c r="G31" s="35">
        <v>94.46</v>
      </c>
      <c r="H31" s="35">
        <v>97.46</v>
      </c>
      <c r="I31" s="35">
        <v>188.42</v>
      </c>
      <c r="J31" s="35">
        <f t="shared" si="4"/>
        <v>380.34</v>
      </c>
      <c r="K31" s="35">
        <v>90.3</v>
      </c>
      <c r="L31" s="35">
        <v>102.99</v>
      </c>
      <c r="M31" s="35">
        <v>111.84</v>
      </c>
      <c r="N31" s="35">
        <f t="shared" si="5"/>
        <v>305.13</v>
      </c>
      <c r="O31" s="35">
        <v>73.599999999999994</v>
      </c>
      <c r="P31" s="35">
        <v>80.42</v>
      </c>
      <c r="Q31" s="35">
        <v>191.79</v>
      </c>
      <c r="R31" s="35">
        <f t="shared" si="6"/>
        <v>345.80999999999995</v>
      </c>
      <c r="S31" s="35">
        <v>89.97</v>
      </c>
      <c r="T31" s="35">
        <v>106.39</v>
      </c>
      <c r="U31" s="35">
        <v>116.69</v>
      </c>
      <c r="V31" s="35">
        <f t="shared" si="7"/>
        <v>313.05</v>
      </c>
      <c r="W31" s="35">
        <v>70.64</v>
      </c>
      <c r="X31" s="35">
        <v>78.03</v>
      </c>
      <c r="Y31" s="35">
        <v>166.16</v>
      </c>
      <c r="Z31" s="35">
        <f t="shared" si="8"/>
        <v>314.83000000000004</v>
      </c>
    </row>
    <row r="32" spans="1:26" x14ac:dyDescent="0.3">
      <c r="A32" s="7">
        <v>24</v>
      </c>
      <c r="B32" s="31" t="s">
        <v>39</v>
      </c>
      <c r="C32" s="47">
        <f t="shared" si="0"/>
        <v>3763.96</v>
      </c>
      <c r="D32" s="47">
        <f t="shared" si="1"/>
        <v>4609.1200000000008</v>
      </c>
      <c r="E32" s="47">
        <f t="shared" si="2"/>
        <v>5688.06</v>
      </c>
      <c r="F32" s="47">
        <f t="shared" si="3"/>
        <v>14061.14</v>
      </c>
      <c r="G32" s="35">
        <v>905.43</v>
      </c>
      <c r="H32" s="35">
        <v>1072.79</v>
      </c>
      <c r="I32" s="35">
        <v>1018.74</v>
      </c>
      <c r="J32" s="35">
        <f t="shared" si="4"/>
        <v>2996.96</v>
      </c>
      <c r="K32" s="35">
        <v>827.24</v>
      </c>
      <c r="L32" s="35">
        <v>1103.93</v>
      </c>
      <c r="M32" s="35">
        <v>703.69</v>
      </c>
      <c r="N32" s="35">
        <f t="shared" si="5"/>
        <v>2634.86</v>
      </c>
      <c r="O32" s="35">
        <v>541.44000000000005</v>
      </c>
      <c r="P32" s="35">
        <v>662.83</v>
      </c>
      <c r="Q32" s="35">
        <v>954.05</v>
      </c>
      <c r="R32" s="35">
        <f t="shared" si="6"/>
        <v>2158.3199999999997</v>
      </c>
      <c r="S32" s="35">
        <v>706.85</v>
      </c>
      <c r="T32" s="35">
        <v>873.22</v>
      </c>
      <c r="U32" s="35">
        <v>1688.82</v>
      </c>
      <c r="V32" s="35">
        <f t="shared" si="7"/>
        <v>3268.8900000000003</v>
      </c>
      <c r="W32" s="35">
        <v>783</v>
      </c>
      <c r="X32" s="35">
        <v>896.35</v>
      </c>
      <c r="Y32" s="35">
        <v>1322.76</v>
      </c>
      <c r="Z32" s="35">
        <f t="shared" si="8"/>
        <v>3002.1099999999997</v>
      </c>
    </row>
    <row r="33" spans="1:55" x14ac:dyDescent="0.3">
      <c r="A33" s="50">
        <v>26</v>
      </c>
      <c r="B33" s="32" t="s">
        <v>27</v>
      </c>
      <c r="C33" s="47">
        <f t="shared" ref="C33:C46" si="9">G33+K33+O33+S33+W33+AA33+AE33+AI33+AM33+AQ33+AU33+AY33</f>
        <v>126.77000000000001</v>
      </c>
      <c r="D33" s="47">
        <f t="shared" ref="D33:D46" si="10">H33+L33+P33+T33+X33+AB33+AF33+AJ33+AN33+AR33+AV33+AZ33</f>
        <v>158.08999999999997</v>
      </c>
      <c r="E33" s="47">
        <f t="shared" ref="E33:E46" si="11">I33+M33+Q33+U33+Y33+AC33+AG33+AK33+AO33+AS33+AW33+BA33</f>
        <v>1736.9899999999998</v>
      </c>
      <c r="F33" s="47">
        <f t="shared" ref="F33:F46" si="12">J33+N33+R33+V33+Z33+AD33+AH33+AL33+AP33+AT33+AX33+BB33</f>
        <v>2021.8500000000001</v>
      </c>
      <c r="G33" s="36">
        <v>18.55</v>
      </c>
      <c r="H33" s="36">
        <v>30.33</v>
      </c>
      <c r="I33" s="36">
        <v>312.63</v>
      </c>
      <c r="J33" s="36">
        <f t="shared" ref="J33:J46" si="13">SUM(G33:I33)</f>
        <v>361.51</v>
      </c>
      <c r="K33" s="36">
        <v>26.97</v>
      </c>
      <c r="L33" s="36">
        <v>35.4</v>
      </c>
      <c r="M33" s="36">
        <v>219.41</v>
      </c>
      <c r="N33" s="36">
        <f t="shared" ref="N33:N46" si="14">SUM(K33:M33)</f>
        <v>281.77999999999997</v>
      </c>
      <c r="O33" s="36">
        <v>21.44</v>
      </c>
      <c r="P33" s="36">
        <v>25.79</v>
      </c>
      <c r="Q33" s="36">
        <v>195.42</v>
      </c>
      <c r="R33" s="36">
        <f t="shared" si="6"/>
        <v>242.64999999999998</v>
      </c>
      <c r="S33" s="36">
        <v>34.1</v>
      </c>
      <c r="T33" s="36">
        <v>38.65</v>
      </c>
      <c r="U33" s="36">
        <v>459.96</v>
      </c>
      <c r="V33" s="36">
        <f t="shared" si="7"/>
        <v>532.71</v>
      </c>
      <c r="W33" s="36">
        <v>25.71</v>
      </c>
      <c r="X33" s="36">
        <v>27.92</v>
      </c>
      <c r="Y33" s="36">
        <v>549.57000000000005</v>
      </c>
      <c r="Z33" s="36">
        <f t="shared" ref="Z33:Z46" si="15">SUM(W33:Y33)</f>
        <v>603.20000000000005</v>
      </c>
    </row>
    <row r="34" spans="1:55" x14ac:dyDescent="0.3">
      <c r="A34" s="7">
        <v>27</v>
      </c>
      <c r="B34" s="31" t="s">
        <v>40</v>
      </c>
      <c r="C34" s="47">
        <f t="shared" si="9"/>
        <v>4256.2199999999993</v>
      </c>
      <c r="D34" s="47">
        <f t="shared" si="10"/>
        <v>5988.76</v>
      </c>
      <c r="E34" s="47">
        <f t="shared" si="11"/>
        <v>6742.47</v>
      </c>
      <c r="F34" s="47">
        <f t="shared" si="12"/>
        <v>16987.45</v>
      </c>
      <c r="G34" s="35">
        <v>1069.54</v>
      </c>
      <c r="H34" s="35">
        <v>1269.68</v>
      </c>
      <c r="I34" s="35">
        <v>1632.74</v>
      </c>
      <c r="J34" s="35">
        <f t="shared" si="13"/>
        <v>3971.96</v>
      </c>
      <c r="K34" s="35">
        <v>851.77</v>
      </c>
      <c r="L34" s="35">
        <v>1451.34</v>
      </c>
      <c r="M34" s="35">
        <v>1151.27</v>
      </c>
      <c r="N34" s="35">
        <f t="shared" si="14"/>
        <v>3454.3799999999997</v>
      </c>
      <c r="O34" s="35">
        <v>820.05</v>
      </c>
      <c r="P34" s="35">
        <v>1072.8900000000001</v>
      </c>
      <c r="Q34" s="35">
        <v>1208.71</v>
      </c>
      <c r="R34" s="35">
        <f t="shared" si="6"/>
        <v>3101.65</v>
      </c>
      <c r="S34" s="35">
        <v>732.28</v>
      </c>
      <c r="T34" s="35">
        <v>1116.7</v>
      </c>
      <c r="U34" s="35">
        <v>1296.03</v>
      </c>
      <c r="V34" s="35">
        <f t="shared" si="7"/>
        <v>3145.01</v>
      </c>
      <c r="W34" s="35">
        <v>782.58</v>
      </c>
      <c r="X34" s="35">
        <v>1078.1500000000001</v>
      </c>
      <c r="Y34" s="35">
        <v>1453.72</v>
      </c>
      <c r="Z34" s="35">
        <f t="shared" si="15"/>
        <v>3314.45</v>
      </c>
    </row>
    <row r="35" spans="1:55" x14ac:dyDescent="0.3">
      <c r="A35" s="7">
        <v>29</v>
      </c>
      <c r="B35" s="31" t="s">
        <v>28</v>
      </c>
      <c r="C35" s="47">
        <f t="shared" si="9"/>
        <v>3797.27</v>
      </c>
      <c r="D35" s="47">
        <f t="shared" si="10"/>
        <v>3931.8</v>
      </c>
      <c r="E35" s="47">
        <f t="shared" si="11"/>
        <v>7549.7</v>
      </c>
      <c r="F35" s="47">
        <f t="shared" si="12"/>
        <v>15278.769999999999</v>
      </c>
      <c r="G35" s="35">
        <v>1122.8900000000001</v>
      </c>
      <c r="H35" s="35">
        <v>1054.3499999999999</v>
      </c>
      <c r="I35" s="35">
        <v>1925.46</v>
      </c>
      <c r="J35" s="35">
        <f t="shared" si="13"/>
        <v>4102.7</v>
      </c>
      <c r="K35" s="35">
        <v>593.19000000000005</v>
      </c>
      <c r="L35" s="35">
        <v>702.55</v>
      </c>
      <c r="M35" s="35">
        <v>1091.83</v>
      </c>
      <c r="N35" s="35">
        <f t="shared" si="14"/>
        <v>2387.5699999999997</v>
      </c>
      <c r="O35" s="35">
        <v>841.96</v>
      </c>
      <c r="P35" s="35">
        <v>931.19</v>
      </c>
      <c r="Q35" s="35">
        <v>1895.86</v>
      </c>
      <c r="R35" s="35">
        <f t="shared" si="6"/>
        <v>3669.01</v>
      </c>
      <c r="S35" s="35">
        <v>708.05</v>
      </c>
      <c r="T35" s="35">
        <v>672.44</v>
      </c>
      <c r="U35" s="35">
        <v>1397.08</v>
      </c>
      <c r="V35" s="35">
        <f t="shared" si="7"/>
        <v>2777.5699999999997</v>
      </c>
      <c r="W35" s="35">
        <v>531.17999999999995</v>
      </c>
      <c r="X35" s="35">
        <v>571.27</v>
      </c>
      <c r="Y35" s="35">
        <v>1239.47</v>
      </c>
      <c r="Z35" s="35">
        <f t="shared" si="15"/>
        <v>2341.92</v>
      </c>
    </row>
    <row r="36" spans="1:55" x14ac:dyDescent="0.3">
      <c r="A36" s="7">
        <v>30</v>
      </c>
      <c r="B36" s="31" t="s">
        <v>29</v>
      </c>
      <c r="C36" s="47">
        <f t="shared" si="9"/>
        <v>36.61</v>
      </c>
      <c r="D36" s="47">
        <f t="shared" si="10"/>
        <v>37.379999999999995</v>
      </c>
      <c r="E36" s="47">
        <f t="shared" si="11"/>
        <v>704.33</v>
      </c>
      <c r="F36" s="47">
        <f t="shared" si="12"/>
        <v>778.32</v>
      </c>
      <c r="G36" s="35">
        <v>7.27</v>
      </c>
      <c r="H36" s="35">
        <v>7.8</v>
      </c>
      <c r="I36" s="35">
        <v>150.4</v>
      </c>
      <c r="J36" s="35">
        <f t="shared" si="13"/>
        <v>165.47</v>
      </c>
      <c r="K36" s="35">
        <v>9.33</v>
      </c>
      <c r="L36" s="35">
        <v>10.16</v>
      </c>
      <c r="M36" s="35">
        <v>83.38</v>
      </c>
      <c r="N36" s="35">
        <f t="shared" si="14"/>
        <v>102.87</v>
      </c>
      <c r="O36" s="35">
        <v>5.43</v>
      </c>
      <c r="P36" s="35">
        <v>4.99</v>
      </c>
      <c r="Q36" s="35">
        <v>114.67</v>
      </c>
      <c r="R36" s="35">
        <f t="shared" si="6"/>
        <v>125.09</v>
      </c>
      <c r="S36" s="35">
        <v>11.97</v>
      </c>
      <c r="T36" s="35">
        <v>11.77</v>
      </c>
      <c r="U36" s="35">
        <v>142.78</v>
      </c>
      <c r="V36" s="35">
        <f t="shared" si="7"/>
        <v>166.52</v>
      </c>
      <c r="W36" s="35">
        <v>2.61</v>
      </c>
      <c r="X36" s="35">
        <v>2.66</v>
      </c>
      <c r="Y36" s="35">
        <v>213.1</v>
      </c>
      <c r="Z36" s="35">
        <f t="shared" si="15"/>
        <v>218.37</v>
      </c>
    </row>
    <row r="37" spans="1:55" x14ac:dyDescent="0.3">
      <c r="A37" s="42">
        <v>31</v>
      </c>
      <c r="B37" s="31" t="s">
        <v>61</v>
      </c>
      <c r="C37" s="47">
        <f t="shared" si="9"/>
        <v>0</v>
      </c>
      <c r="D37" s="47">
        <f t="shared" si="10"/>
        <v>0</v>
      </c>
      <c r="E37" s="47">
        <f t="shared" si="11"/>
        <v>0</v>
      </c>
      <c r="F37" s="47">
        <f t="shared" si="12"/>
        <v>0</v>
      </c>
      <c r="G37" s="35">
        <v>0</v>
      </c>
      <c r="H37" s="35">
        <v>0</v>
      </c>
      <c r="I37" s="35">
        <v>0</v>
      </c>
      <c r="J37" s="35">
        <f t="shared" si="13"/>
        <v>0</v>
      </c>
      <c r="K37" s="35">
        <v>0</v>
      </c>
      <c r="L37" s="35">
        <v>0</v>
      </c>
      <c r="M37" s="35">
        <v>0</v>
      </c>
      <c r="N37" s="35">
        <f t="shared" si="14"/>
        <v>0</v>
      </c>
      <c r="O37" s="35">
        <v>0</v>
      </c>
      <c r="P37" s="35">
        <v>0</v>
      </c>
      <c r="Q37" s="35">
        <v>0</v>
      </c>
      <c r="R37" s="35">
        <f t="shared" si="6"/>
        <v>0</v>
      </c>
      <c r="S37" s="35">
        <v>0</v>
      </c>
      <c r="T37" s="35">
        <v>0</v>
      </c>
      <c r="U37" s="35">
        <v>0</v>
      </c>
      <c r="V37" s="35">
        <f t="shared" si="7"/>
        <v>0</v>
      </c>
      <c r="W37" s="35">
        <v>0</v>
      </c>
      <c r="X37" s="35">
        <v>0</v>
      </c>
      <c r="Y37" s="35">
        <v>0</v>
      </c>
      <c r="Z37" s="35">
        <f t="shared" si="15"/>
        <v>0</v>
      </c>
    </row>
    <row r="38" spans="1:55" x14ac:dyDescent="0.3">
      <c r="A38" s="7">
        <v>32</v>
      </c>
      <c r="B38" s="31" t="s">
        <v>31</v>
      </c>
      <c r="C38" s="47">
        <f t="shared" si="9"/>
        <v>213.48000000000002</v>
      </c>
      <c r="D38" s="47">
        <f t="shared" si="10"/>
        <v>186.89</v>
      </c>
      <c r="E38" s="47">
        <f t="shared" si="11"/>
        <v>397.77</v>
      </c>
      <c r="F38" s="47">
        <f t="shared" si="12"/>
        <v>798.14</v>
      </c>
      <c r="G38" s="35">
        <v>46.87</v>
      </c>
      <c r="H38" s="35">
        <v>48.94</v>
      </c>
      <c r="I38" s="35">
        <v>208.68</v>
      </c>
      <c r="J38" s="35">
        <f t="shared" si="13"/>
        <v>304.49</v>
      </c>
      <c r="K38" s="35">
        <v>57.24</v>
      </c>
      <c r="L38" s="35">
        <v>33.020000000000003</v>
      </c>
      <c r="M38" s="35">
        <v>39.25</v>
      </c>
      <c r="N38" s="35">
        <f t="shared" si="14"/>
        <v>129.51</v>
      </c>
      <c r="O38" s="35">
        <v>38.119999999999997</v>
      </c>
      <c r="P38" s="35">
        <v>32.83</v>
      </c>
      <c r="Q38" s="35">
        <v>49.84</v>
      </c>
      <c r="R38" s="35">
        <f t="shared" si="6"/>
        <v>120.78999999999999</v>
      </c>
      <c r="S38" s="35">
        <v>39.33</v>
      </c>
      <c r="T38" s="35">
        <v>39.03</v>
      </c>
      <c r="U38" s="35">
        <v>49.03</v>
      </c>
      <c r="V38" s="35">
        <f t="shared" si="7"/>
        <v>127.39</v>
      </c>
      <c r="W38" s="35">
        <v>31.92</v>
      </c>
      <c r="X38" s="35">
        <v>33.07</v>
      </c>
      <c r="Y38" s="35">
        <v>50.97</v>
      </c>
      <c r="Z38" s="35">
        <f t="shared" si="15"/>
        <v>115.96000000000001</v>
      </c>
    </row>
    <row r="39" spans="1:55" x14ac:dyDescent="0.3">
      <c r="A39" s="7">
        <v>33</v>
      </c>
      <c r="B39" s="31" t="s">
        <v>32</v>
      </c>
      <c r="C39" s="47">
        <f t="shared" si="9"/>
        <v>2316.89</v>
      </c>
      <c r="D39" s="47">
        <f t="shared" si="10"/>
        <v>2477.1999999999998</v>
      </c>
      <c r="E39" s="47">
        <f t="shared" si="11"/>
        <v>3252.3199999999997</v>
      </c>
      <c r="F39" s="47">
        <f t="shared" si="12"/>
        <v>8046.41</v>
      </c>
      <c r="G39" s="35">
        <v>478.1</v>
      </c>
      <c r="H39" s="35">
        <v>503.55</v>
      </c>
      <c r="I39" s="35">
        <v>988.37</v>
      </c>
      <c r="J39" s="35">
        <f t="shared" si="13"/>
        <v>1970.02</v>
      </c>
      <c r="K39" s="35">
        <v>321.70999999999998</v>
      </c>
      <c r="L39" s="35">
        <v>373.77</v>
      </c>
      <c r="M39" s="35">
        <v>480.12</v>
      </c>
      <c r="N39" s="35">
        <f t="shared" si="14"/>
        <v>1175.5999999999999</v>
      </c>
      <c r="O39" s="35">
        <v>481.48</v>
      </c>
      <c r="P39" s="35">
        <v>464.57</v>
      </c>
      <c r="Q39" s="35">
        <v>637.86</v>
      </c>
      <c r="R39" s="35">
        <f t="shared" si="6"/>
        <v>1583.9099999999999</v>
      </c>
      <c r="S39" s="35">
        <v>529.26</v>
      </c>
      <c r="T39" s="35">
        <v>566.95000000000005</v>
      </c>
      <c r="U39" s="35">
        <v>494.75</v>
      </c>
      <c r="V39" s="35">
        <f t="shared" si="7"/>
        <v>1590.96</v>
      </c>
      <c r="W39" s="35">
        <v>506.34</v>
      </c>
      <c r="X39" s="35">
        <v>568.36</v>
      </c>
      <c r="Y39" s="35">
        <v>651.22</v>
      </c>
      <c r="Z39" s="35">
        <f t="shared" si="15"/>
        <v>1725.92</v>
      </c>
    </row>
    <row r="40" spans="1:55" x14ac:dyDescent="0.3">
      <c r="A40" s="7">
        <v>34</v>
      </c>
      <c r="B40" s="31" t="s">
        <v>33</v>
      </c>
      <c r="C40" s="47">
        <f t="shared" si="9"/>
        <v>11.55</v>
      </c>
      <c r="D40" s="47">
        <f t="shared" si="10"/>
        <v>15.26</v>
      </c>
      <c r="E40" s="47">
        <f t="shared" si="11"/>
        <v>119.63999999999999</v>
      </c>
      <c r="F40" s="47">
        <f t="shared" si="12"/>
        <v>146.45000000000002</v>
      </c>
      <c r="G40" s="35">
        <v>1.73</v>
      </c>
      <c r="H40" s="35">
        <v>2.46</v>
      </c>
      <c r="I40" s="35">
        <v>13.06</v>
      </c>
      <c r="J40" s="35">
        <f t="shared" si="13"/>
        <v>17.25</v>
      </c>
      <c r="K40" s="35">
        <v>3.49</v>
      </c>
      <c r="L40" s="35">
        <v>4.59</v>
      </c>
      <c r="M40" s="35">
        <v>25.13</v>
      </c>
      <c r="N40" s="35">
        <f t="shared" si="14"/>
        <v>33.21</v>
      </c>
      <c r="O40" s="35">
        <v>2.37</v>
      </c>
      <c r="P40" s="35">
        <v>3.74</v>
      </c>
      <c r="Q40" s="35">
        <v>29.51</v>
      </c>
      <c r="R40" s="35">
        <f t="shared" si="6"/>
        <v>35.620000000000005</v>
      </c>
      <c r="S40" s="35">
        <v>2.98</v>
      </c>
      <c r="T40" s="35">
        <v>3.46</v>
      </c>
      <c r="U40" s="35">
        <v>19.71</v>
      </c>
      <c r="V40" s="35">
        <f t="shared" si="7"/>
        <v>26.15</v>
      </c>
      <c r="W40" s="35">
        <v>0.98</v>
      </c>
      <c r="X40" s="35">
        <v>1.01</v>
      </c>
      <c r="Y40" s="35">
        <v>32.229999999999997</v>
      </c>
      <c r="Z40" s="35">
        <f t="shared" si="15"/>
        <v>34.22</v>
      </c>
    </row>
    <row r="41" spans="1:55" x14ac:dyDescent="0.3">
      <c r="A41" s="7">
        <v>35</v>
      </c>
      <c r="B41" s="31" t="s">
        <v>41</v>
      </c>
      <c r="C41" s="47">
        <f t="shared" si="9"/>
        <v>0.63</v>
      </c>
      <c r="D41" s="47">
        <f t="shared" si="10"/>
        <v>0.63</v>
      </c>
      <c r="E41" s="47">
        <f t="shared" si="11"/>
        <v>1.2100000000000002</v>
      </c>
      <c r="F41" s="47">
        <f t="shared" si="12"/>
        <v>2.4699999999999998</v>
      </c>
      <c r="G41" s="35">
        <v>0.02</v>
      </c>
      <c r="H41" s="35">
        <v>0.02</v>
      </c>
      <c r="I41" s="35">
        <v>0</v>
      </c>
      <c r="J41" s="35">
        <f t="shared" si="13"/>
        <v>0.04</v>
      </c>
      <c r="K41" s="35">
        <v>0.13</v>
      </c>
      <c r="L41" s="35">
        <v>0.13</v>
      </c>
      <c r="M41" s="35">
        <v>0.67</v>
      </c>
      <c r="N41" s="35">
        <f t="shared" si="14"/>
        <v>0.93</v>
      </c>
      <c r="O41" s="35">
        <v>0.02</v>
      </c>
      <c r="P41" s="35">
        <v>0.02</v>
      </c>
      <c r="Q41" s="35">
        <v>0</v>
      </c>
      <c r="R41" s="35">
        <f t="shared" si="6"/>
        <v>0.04</v>
      </c>
      <c r="S41" s="35">
        <v>0.46</v>
      </c>
      <c r="T41" s="35">
        <v>0.46</v>
      </c>
      <c r="U41" s="35">
        <v>0.45</v>
      </c>
      <c r="V41" s="35">
        <f t="shared" si="7"/>
        <v>1.37</v>
      </c>
      <c r="W41" s="35">
        <v>0</v>
      </c>
      <c r="X41" s="35">
        <v>0</v>
      </c>
      <c r="Y41" s="35">
        <v>0.09</v>
      </c>
      <c r="Z41" s="35">
        <f t="shared" si="15"/>
        <v>0.09</v>
      </c>
    </row>
    <row r="42" spans="1:55" x14ac:dyDescent="0.3">
      <c r="A42" s="7">
        <v>36</v>
      </c>
      <c r="B42" s="31" t="s">
        <v>34</v>
      </c>
      <c r="C42" s="47">
        <f t="shared" si="9"/>
        <v>873.28000000000009</v>
      </c>
      <c r="D42" s="47">
        <f t="shared" si="10"/>
        <v>1035.94</v>
      </c>
      <c r="E42" s="47">
        <f t="shared" si="11"/>
        <v>2589.7600000000002</v>
      </c>
      <c r="F42" s="47">
        <f t="shared" si="12"/>
        <v>4498.9799999999996</v>
      </c>
      <c r="G42" s="35">
        <v>202.6</v>
      </c>
      <c r="H42" s="35">
        <v>254.22</v>
      </c>
      <c r="I42" s="35">
        <v>429.41</v>
      </c>
      <c r="J42" s="35">
        <f t="shared" si="13"/>
        <v>886.23</v>
      </c>
      <c r="K42" s="35">
        <v>219.97</v>
      </c>
      <c r="L42" s="35">
        <v>286.94</v>
      </c>
      <c r="M42" s="35">
        <v>560.25</v>
      </c>
      <c r="N42" s="35">
        <f t="shared" si="14"/>
        <v>1067.1599999999999</v>
      </c>
      <c r="O42" s="35">
        <v>216.87</v>
      </c>
      <c r="P42" s="35">
        <v>235.49</v>
      </c>
      <c r="Q42" s="35">
        <v>631.61</v>
      </c>
      <c r="R42" s="35">
        <f t="shared" si="6"/>
        <v>1083.97</v>
      </c>
      <c r="S42" s="35">
        <v>93.25</v>
      </c>
      <c r="T42" s="35">
        <v>106.95</v>
      </c>
      <c r="U42" s="35">
        <v>255.04</v>
      </c>
      <c r="V42" s="35">
        <f t="shared" si="7"/>
        <v>455.24</v>
      </c>
      <c r="W42" s="35">
        <v>140.59</v>
      </c>
      <c r="X42" s="35">
        <v>152.34</v>
      </c>
      <c r="Y42" s="35">
        <v>713.45</v>
      </c>
      <c r="Z42" s="35">
        <f t="shared" si="15"/>
        <v>1006.3800000000001</v>
      </c>
    </row>
    <row r="43" spans="1:55" x14ac:dyDescent="0.3">
      <c r="A43" s="7">
        <v>37</v>
      </c>
      <c r="B43" s="31" t="s">
        <v>35</v>
      </c>
      <c r="C43" s="47">
        <f t="shared" si="9"/>
        <v>293.83</v>
      </c>
      <c r="D43" s="47">
        <f t="shared" si="10"/>
        <v>325.69</v>
      </c>
      <c r="E43" s="47">
        <f t="shared" si="11"/>
        <v>1165.8000000000002</v>
      </c>
      <c r="F43" s="47">
        <f t="shared" si="12"/>
        <v>1785.3200000000002</v>
      </c>
      <c r="G43" s="35">
        <v>103.6</v>
      </c>
      <c r="H43" s="35">
        <v>118.45</v>
      </c>
      <c r="I43" s="35">
        <v>212.58</v>
      </c>
      <c r="J43" s="35">
        <f t="shared" si="13"/>
        <v>434.63</v>
      </c>
      <c r="K43" s="35">
        <v>43.83</v>
      </c>
      <c r="L43" s="35">
        <v>55.55</v>
      </c>
      <c r="M43" s="35">
        <v>350.97</v>
      </c>
      <c r="N43" s="35">
        <f t="shared" si="14"/>
        <v>450.35</v>
      </c>
      <c r="O43" s="35">
        <v>61.26</v>
      </c>
      <c r="P43" s="35">
        <v>62.09</v>
      </c>
      <c r="Q43" s="35">
        <v>191.5</v>
      </c>
      <c r="R43" s="35">
        <f t="shared" si="6"/>
        <v>314.85000000000002</v>
      </c>
      <c r="S43" s="35">
        <v>56.63</v>
      </c>
      <c r="T43" s="35">
        <v>56.9</v>
      </c>
      <c r="U43" s="35">
        <v>292.58</v>
      </c>
      <c r="V43" s="35">
        <f t="shared" si="7"/>
        <v>406.11</v>
      </c>
      <c r="W43" s="35">
        <v>28.51</v>
      </c>
      <c r="X43" s="35">
        <v>32.700000000000003</v>
      </c>
      <c r="Y43" s="35">
        <v>118.17</v>
      </c>
      <c r="Z43" s="35">
        <f t="shared" si="15"/>
        <v>179.38</v>
      </c>
    </row>
    <row r="44" spans="1:55" x14ac:dyDescent="0.3">
      <c r="A44" s="7">
        <v>38</v>
      </c>
      <c r="B44" s="31" t="s">
        <v>36</v>
      </c>
      <c r="C44" s="47">
        <f t="shared" si="9"/>
        <v>1.21</v>
      </c>
      <c r="D44" s="47">
        <f t="shared" si="10"/>
        <v>1.06</v>
      </c>
      <c r="E44" s="47">
        <f t="shared" si="11"/>
        <v>6.37</v>
      </c>
      <c r="F44" s="47">
        <f t="shared" si="12"/>
        <v>8.64</v>
      </c>
      <c r="G44" s="35">
        <v>0</v>
      </c>
      <c r="H44" s="35">
        <v>0</v>
      </c>
      <c r="I44" s="35">
        <v>0</v>
      </c>
      <c r="J44" s="35">
        <f t="shared" si="13"/>
        <v>0</v>
      </c>
      <c r="K44" s="35">
        <v>0.23</v>
      </c>
      <c r="L44" s="35">
        <v>0.08</v>
      </c>
      <c r="M44" s="35">
        <v>0</v>
      </c>
      <c r="N44" s="35">
        <f t="shared" si="14"/>
        <v>0.31</v>
      </c>
      <c r="O44" s="35">
        <v>0.98</v>
      </c>
      <c r="P44" s="35">
        <v>0.98</v>
      </c>
      <c r="Q44" s="35">
        <v>6.36</v>
      </c>
      <c r="R44" s="35">
        <f t="shared" si="6"/>
        <v>8.32</v>
      </c>
      <c r="S44" s="35">
        <v>0</v>
      </c>
      <c r="T44" s="35">
        <v>0</v>
      </c>
      <c r="U44" s="35">
        <v>0</v>
      </c>
      <c r="V44" s="35">
        <f t="shared" si="7"/>
        <v>0</v>
      </c>
      <c r="W44" s="35">
        <v>0</v>
      </c>
      <c r="X44" s="35">
        <v>0</v>
      </c>
      <c r="Y44" s="35">
        <v>0.01</v>
      </c>
      <c r="Z44" s="35">
        <f t="shared" si="15"/>
        <v>0.01</v>
      </c>
    </row>
    <row r="45" spans="1:55" x14ac:dyDescent="0.3">
      <c r="A45" s="7">
        <v>97</v>
      </c>
      <c r="B45" s="30" t="s">
        <v>37</v>
      </c>
      <c r="C45" s="47">
        <f t="shared" si="9"/>
        <v>6.57</v>
      </c>
      <c r="D45" s="47">
        <f t="shared" si="10"/>
        <v>6.59</v>
      </c>
      <c r="E45" s="47">
        <f t="shared" si="11"/>
        <v>0.04</v>
      </c>
      <c r="F45" s="47">
        <f t="shared" si="12"/>
        <v>13.2</v>
      </c>
      <c r="G45" s="35">
        <v>0.53</v>
      </c>
      <c r="H45" s="35">
        <v>0.55000000000000004</v>
      </c>
      <c r="I45" s="35">
        <v>0</v>
      </c>
      <c r="J45" s="35">
        <f t="shared" si="13"/>
        <v>1.08</v>
      </c>
      <c r="K45" s="35">
        <v>1</v>
      </c>
      <c r="L45" s="35">
        <v>1</v>
      </c>
      <c r="M45" s="35">
        <v>0.04</v>
      </c>
      <c r="N45" s="35">
        <f t="shared" si="14"/>
        <v>2.04</v>
      </c>
      <c r="O45" s="35">
        <v>0</v>
      </c>
      <c r="P45" s="35">
        <v>0</v>
      </c>
      <c r="Q45" s="35">
        <v>0</v>
      </c>
      <c r="R45" s="35">
        <f t="shared" si="6"/>
        <v>0</v>
      </c>
      <c r="S45" s="35">
        <v>5.04</v>
      </c>
      <c r="T45" s="35">
        <v>5.04</v>
      </c>
      <c r="U45" s="35">
        <v>0</v>
      </c>
      <c r="V45" s="35">
        <f t="shared" si="7"/>
        <v>10.08</v>
      </c>
      <c r="W45" s="35">
        <v>0</v>
      </c>
      <c r="X45" s="35">
        <v>0</v>
      </c>
      <c r="Y45" s="35">
        <v>0</v>
      </c>
      <c r="Z45" s="35">
        <f t="shared" si="15"/>
        <v>0</v>
      </c>
    </row>
    <row r="46" spans="1:55" x14ac:dyDescent="0.3">
      <c r="A46" s="42">
        <v>99</v>
      </c>
      <c r="B46" s="30" t="s">
        <v>62</v>
      </c>
      <c r="C46" s="47">
        <f t="shared" si="9"/>
        <v>0</v>
      </c>
      <c r="D46" s="47">
        <f t="shared" si="10"/>
        <v>0</v>
      </c>
      <c r="E46" s="47">
        <f t="shared" si="11"/>
        <v>0.63</v>
      </c>
      <c r="F46" s="47">
        <f t="shared" si="12"/>
        <v>0.63</v>
      </c>
      <c r="G46" s="35">
        <v>0</v>
      </c>
      <c r="H46" s="35">
        <v>0</v>
      </c>
      <c r="I46" s="35">
        <v>0.01</v>
      </c>
      <c r="J46" s="35">
        <f t="shared" si="13"/>
        <v>0.01</v>
      </c>
      <c r="K46" s="35">
        <v>0</v>
      </c>
      <c r="L46" s="35">
        <v>0</v>
      </c>
      <c r="M46" s="35">
        <v>0</v>
      </c>
      <c r="N46" s="35">
        <f t="shared" si="14"/>
        <v>0</v>
      </c>
      <c r="O46" s="35">
        <v>0</v>
      </c>
      <c r="P46" s="35">
        <v>0</v>
      </c>
      <c r="Q46" s="35">
        <v>0</v>
      </c>
      <c r="R46" s="35">
        <f t="shared" si="6"/>
        <v>0</v>
      </c>
      <c r="S46" s="35">
        <v>0</v>
      </c>
      <c r="T46" s="35">
        <v>0</v>
      </c>
      <c r="U46" s="35">
        <v>0.62</v>
      </c>
      <c r="V46" s="35">
        <f t="shared" si="7"/>
        <v>0.62</v>
      </c>
      <c r="W46" s="35">
        <v>0</v>
      </c>
      <c r="X46" s="35">
        <v>0</v>
      </c>
      <c r="Y46" s="35">
        <v>0</v>
      </c>
      <c r="Z46" s="35">
        <f t="shared" si="15"/>
        <v>0</v>
      </c>
    </row>
    <row r="47" spans="1:55" x14ac:dyDescent="0.3">
      <c r="A47" s="70" t="s">
        <v>54</v>
      </c>
      <c r="B47" s="70"/>
      <c r="C47" s="13">
        <f t="shared" ref="C47:Z47" si="16">SUM(C9:C46)</f>
        <v>21740.51</v>
      </c>
      <c r="D47" s="13">
        <f t="shared" si="16"/>
        <v>25872.05</v>
      </c>
      <c r="E47" s="13">
        <f t="shared" si="16"/>
        <v>43350.65</v>
      </c>
      <c r="F47" s="13">
        <f t="shared" si="16"/>
        <v>90963.210000000021</v>
      </c>
      <c r="G47" s="13">
        <f t="shared" si="16"/>
        <v>5253.130000000001</v>
      </c>
      <c r="H47" s="13">
        <f t="shared" si="16"/>
        <v>5889.0200000000013</v>
      </c>
      <c r="I47" s="13">
        <f t="shared" si="16"/>
        <v>8854.1299999999992</v>
      </c>
      <c r="J47" s="13">
        <f t="shared" si="16"/>
        <v>19996.280000000002</v>
      </c>
      <c r="K47" s="13">
        <f t="shared" si="16"/>
        <v>4117.6099999999988</v>
      </c>
      <c r="L47" s="13">
        <f t="shared" si="16"/>
        <v>5471.7</v>
      </c>
      <c r="M47" s="13">
        <f t="shared" si="16"/>
        <v>7440.7400000000007</v>
      </c>
      <c r="N47" s="13">
        <f t="shared" si="16"/>
        <v>17030.05</v>
      </c>
      <c r="O47" s="13">
        <f t="shared" si="16"/>
        <v>4378.76</v>
      </c>
      <c r="P47" s="13">
        <f t="shared" si="16"/>
        <v>5047.4399999999987</v>
      </c>
      <c r="Q47" s="13">
        <f t="shared" si="16"/>
        <v>8340.57</v>
      </c>
      <c r="R47" s="13">
        <f t="shared" si="16"/>
        <v>17766.77</v>
      </c>
      <c r="S47" s="13">
        <f t="shared" si="16"/>
        <v>4100.7300000000005</v>
      </c>
      <c r="T47" s="13">
        <f t="shared" si="16"/>
        <v>4908.3999999999996</v>
      </c>
      <c r="U47" s="13">
        <f t="shared" si="16"/>
        <v>8670.9</v>
      </c>
      <c r="V47" s="13">
        <f t="shared" si="16"/>
        <v>17680.030000000002</v>
      </c>
      <c r="W47" s="13">
        <f t="shared" si="16"/>
        <v>3890.2800000000007</v>
      </c>
      <c r="X47" s="13">
        <f t="shared" si="16"/>
        <v>4555.4900000000007</v>
      </c>
      <c r="Y47" s="13">
        <f t="shared" si="16"/>
        <v>10044.31</v>
      </c>
      <c r="Z47" s="13">
        <f t="shared" si="16"/>
        <v>18490.080000000002</v>
      </c>
    </row>
    <row r="48" spans="1:55" x14ac:dyDescent="0.3">
      <c r="C48" s="15"/>
      <c r="D48" s="15"/>
      <c r="E48" s="15"/>
      <c r="F48" s="48"/>
      <c r="G48" s="15"/>
      <c r="H48" s="15"/>
      <c r="I48" s="15"/>
      <c r="J48" s="15"/>
      <c r="BC48" s="44"/>
    </row>
    <row r="49" spans="1:55" x14ac:dyDescent="0.3">
      <c r="A49" s="71" t="s">
        <v>49</v>
      </c>
      <c r="B49" s="71"/>
      <c r="C49" s="41">
        <f t="shared" ref="C49:D49" si="17">G49+K49+O49+S49+W49+AA49+AE49+AI49+AM49+AQ49+AU49+AY49</f>
        <v>0</v>
      </c>
      <c r="D49" s="41">
        <f t="shared" si="17"/>
        <v>0</v>
      </c>
      <c r="E49" s="41">
        <f>I49+M49+Q49+U49+Y49+AC49+AG49+AK49+AO49+AS49+AW49+BA49</f>
        <v>62309.290189699997</v>
      </c>
      <c r="F49" s="41">
        <f>J49+N49+R49+V49+Z49+AD49+AH49+AL49+AP49+AT49+AX49+BB49</f>
        <v>62309.290189699997</v>
      </c>
      <c r="G49" s="41">
        <v>0</v>
      </c>
      <c r="H49" s="41">
        <v>0</v>
      </c>
      <c r="I49" s="41">
        <v>11796.694172899999</v>
      </c>
      <c r="J49" s="41">
        <f>SUM(G49:I49)</f>
        <v>11796.694172899999</v>
      </c>
      <c r="K49" s="41">
        <v>0</v>
      </c>
      <c r="L49" s="41">
        <v>0</v>
      </c>
      <c r="M49" s="41">
        <v>10250.482122900001</v>
      </c>
      <c r="N49" s="41">
        <f>SUM(K49:M49)</f>
        <v>10250.482122900001</v>
      </c>
      <c r="O49" s="41">
        <v>0</v>
      </c>
      <c r="P49" s="41">
        <v>0</v>
      </c>
      <c r="Q49" s="41">
        <v>14668.778136700001</v>
      </c>
      <c r="R49" s="41">
        <f>SUM(O49:Q49)</f>
        <v>14668.778136700001</v>
      </c>
      <c r="S49" s="41">
        <v>0</v>
      </c>
      <c r="T49" s="41">
        <v>0</v>
      </c>
      <c r="U49" s="41">
        <v>12288.0448048</v>
      </c>
      <c r="V49" s="41">
        <f>SUM(S49:U49)</f>
        <v>12288.0448048</v>
      </c>
      <c r="W49" s="41">
        <v>0</v>
      </c>
      <c r="X49" s="41">
        <v>0</v>
      </c>
      <c r="Y49" s="41">
        <v>13305.290952400001</v>
      </c>
      <c r="Z49" s="41">
        <f>SUM(W49:Y49)</f>
        <v>13305.290952400001</v>
      </c>
      <c r="BC49" s="44"/>
    </row>
    <row r="50" spans="1:55" x14ac:dyDescent="0.3">
      <c r="A50" s="28"/>
      <c r="B50" s="28"/>
      <c r="C50" s="37"/>
      <c r="D50" s="37"/>
      <c r="E50" s="37"/>
      <c r="F50" s="37"/>
      <c r="G50" s="38"/>
      <c r="H50" s="38"/>
      <c r="I50" s="39"/>
      <c r="J50" s="40"/>
      <c r="K50" s="38"/>
      <c r="L50" s="38"/>
      <c r="M50" s="39"/>
      <c r="N50" s="40"/>
      <c r="O50" s="38"/>
      <c r="P50" s="38"/>
      <c r="Q50" s="39"/>
      <c r="R50" s="40"/>
      <c r="S50" s="38"/>
      <c r="T50" s="38"/>
      <c r="U50" s="39"/>
      <c r="V50" s="40"/>
      <c r="W50" s="38"/>
      <c r="X50" s="38"/>
      <c r="Y50" s="39"/>
      <c r="Z50" s="40"/>
      <c r="BC50" s="44"/>
    </row>
    <row r="51" spans="1:55" x14ac:dyDescent="0.3">
      <c r="A51" s="69" t="s">
        <v>55</v>
      </c>
      <c r="B51" s="69"/>
      <c r="C51" s="16">
        <f t="shared" ref="C51:I51" si="18">C49+C47</f>
        <v>21740.51</v>
      </c>
      <c r="D51" s="16">
        <f t="shared" si="18"/>
        <v>25872.05</v>
      </c>
      <c r="E51" s="16">
        <f t="shared" si="18"/>
        <v>105659.94018969999</v>
      </c>
      <c r="F51" s="16">
        <f t="shared" si="18"/>
        <v>153272.50018970002</v>
      </c>
      <c r="G51" s="16">
        <f t="shared" si="18"/>
        <v>5253.130000000001</v>
      </c>
      <c r="H51" s="16">
        <f t="shared" si="18"/>
        <v>5889.0200000000013</v>
      </c>
      <c r="I51" s="16">
        <f t="shared" si="18"/>
        <v>20650.8241729</v>
      </c>
      <c r="J51" s="16">
        <f>J49+J47</f>
        <v>31792.974172900002</v>
      </c>
      <c r="K51" s="16">
        <f t="shared" ref="K51:M51" si="19">K49+K47</f>
        <v>4117.6099999999988</v>
      </c>
      <c r="L51" s="16">
        <f t="shared" si="19"/>
        <v>5471.7</v>
      </c>
      <c r="M51" s="16">
        <f t="shared" si="19"/>
        <v>17691.222122900002</v>
      </c>
      <c r="N51" s="16">
        <f>N49+N47</f>
        <v>27280.5321229</v>
      </c>
      <c r="O51" s="16">
        <f t="shared" ref="O51:Q51" si="20">O49+O47</f>
        <v>4378.76</v>
      </c>
      <c r="P51" s="16">
        <f t="shared" si="20"/>
        <v>5047.4399999999987</v>
      </c>
      <c r="Q51" s="16">
        <f t="shared" si="20"/>
        <v>23009.348136699999</v>
      </c>
      <c r="R51" s="16">
        <f>R49+R47</f>
        <v>32435.548136700003</v>
      </c>
      <c r="S51" s="16">
        <f t="shared" ref="S51:U51" si="21">S49+S47</f>
        <v>4100.7300000000005</v>
      </c>
      <c r="T51" s="16">
        <f t="shared" si="21"/>
        <v>4908.3999999999996</v>
      </c>
      <c r="U51" s="16">
        <f t="shared" si="21"/>
        <v>20958.944804799998</v>
      </c>
      <c r="V51" s="16">
        <f>V49+V47</f>
        <v>29968.074804800002</v>
      </c>
      <c r="W51" s="16">
        <f t="shared" ref="W51:Y51" si="22">W49+W47</f>
        <v>3890.2800000000007</v>
      </c>
      <c r="X51" s="16">
        <f t="shared" si="22"/>
        <v>4555.4900000000007</v>
      </c>
      <c r="Y51" s="16">
        <f t="shared" si="22"/>
        <v>23349.6009524</v>
      </c>
      <c r="Z51" s="16">
        <f>Z49+Z47</f>
        <v>31795.370952400001</v>
      </c>
      <c r="BC51" s="44"/>
    </row>
    <row r="52" spans="1:55" x14ac:dyDescent="0.3"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</row>
    <row r="53" spans="1:55" x14ac:dyDescent="0.3">
      <c r="F53" s="51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55" x14ac:dyDescent="0.3">
      <c r="F54" s="51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</row>
    <row r="55" spans="1:55" ht="15.6" x14ac:dyDescent="0.3">
      <c r="B55" s="33" t="s">
        <v>63</v>
      </c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</row>
    <row r="56" spans="1:55" x14ac:dyDescent="0.3">
      <c r="B56" s="46" t="s">
        <v>64</v>
      </c>
      <c r="C56" s="46"/>
      <c r="D56" s="46"/>
      <c r="E56" s="46"/>
      <c r="F56" s="46"/>
      <c r="G56" s="46"/>
      <c r="H56" s="46"/>
      <c r="K56" s="46"/>
      <c r="L56" s="46"/>
      <c r="O56" s="46"/>
      <c r="P56" s="46"/>
      <c r="S56" s="46"/>
      <c r="T56" s="46"/>
      <c r="W56" s="46"/>
      <c r="X56" s="46"/>
      <c r="AA56" s="46"/>
      <c r="AB56" s="46"/>
      <c r="AE56" s="46"/>
      <c r="AF56" s="46"/>
    </row>
  </sheetData>
  <sortState xmlns:xlrd2="http://schemas.microsoft.com/office/spreadsheetml/2017/richdata2" ref="A9:N46">
    <sortCondition ref="A9:A46"/>
  </sortState>
  <mergeCells count="13">
    <mergeCell ref="W7:Z7"/>
    <mergeCell ref="S7:V7"/>
    <mergeCell ref="A2:C2"/>
    <mergeCell ref="A4:C4"/>
    <mergeCell ref="C7:F7"/>
    <mergeCell ref="G7:J7"/>
    <mergeCell ref="O7:R7"/>
    <mergeCell ref="K7:N7"/>
    <mergeCell ref="A51:B51"/>
    <mergeCell ref="A47:B47"/>
    <mergeCell ref="A49:B49"/>
    <mergeCell ref="A7:A8"/>
    <mergeCell ref="B7:B8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GST_Revenue-All_India</vt:lpstr>
      <vt:lpstr>Collections-Statewise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2024-07-26T04:18:57Z</cp:lastPrinted>
  <dcterms:created xsi:type="dcterms:W3CDTF">2020-09-04T02:38:46Z</dcterms:created>
  <dcterms:modified xsi:type="dcterms:W3CDTF">2026-09-09T12:02:18Z</dcterms:modified>
</cp:coreProperties>
</file>